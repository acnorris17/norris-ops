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cnorris1/Norris Utilities, LLC/Bucket Covers/"/>
    </mc:Choice>
  </mc:AlternateContent>
  <xr:revisionPtr revIDLastSave="0" documentId="8_{DD7E27A9-F7BF-224E-A019-D913BCFB94A9}" xr6:coauthVersionLast="47" xr6:coauthVersionMax="47" xr10:uidLastSave="{00000000-0000-0000-0000-000000000000}"/>
  <bookViews>
    <workbookView xWindow="720" yWindow="620" windowWidth="16380" windowHeight="8200" tabRatio="500" xr2:uid="{00000000-000D-0000-FFFF-FFFF00000000}"/>
  </bookViews>
  <sheets>
    <sheet name="Master Pricing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8" i="1" l="1"/>
  <c r="F88" i="1"/>
  <c r="G86" i="1"/>
  <c r="F86" i="1"/>
  <c r="G85" i="1"/>
  <c r="F85" i="1"/>
  <c r="G83" i="1"/>
  <c r="F83" i="1"/>
  <c r="G82" i="1"/>
  <c r="F82" i="1"/>
  <c r="G81" i="1"/>
  <c r="F81" i="1"/>
  <c r="G80" i="1"/>
  <c r="F80" i="1"/>
  <c r="G79" i="1"/>
  <c r="F79" i="1"/>
  <c r="G78" i="1"/>
  <c r="F78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K32" i="1"/>
  <c r="J32" i="1"/>
  <c r="I32" i="1"/>
  <c r="G32" i="1"/>
  <c r="F32" i="1"/>
  <c r="G31" i="1"/>
  <c r="F31" i="1"/>
  <c r="G30" i="1"/>
  <c r="F30" i="1"/>
  <c r="G28" i="1"/>
  <c r="F28" i="1"/>
  <c r="K27" i="1"/>
  <c r="J27" i="1"/>
  <c r="I27" i="1"/>
  <c r="G27" i="1"/>
  <c r="F27" i="1"/>
  <c r="G26" i="1"/>
  <c r="F26" i="1"/>
  <c r="K25" i="1"/>
  <c r="J25" i="1"/>
  <c r="I25" i="1"/>
  <c r="G25" i="1"/>
  <c r="F25" i="1"/>
  <c r="K24" i="1"/>
  <c r="J24" i="1"/>
  <c r="I24" i="1"/>
  <c r="G24" i="1"/>
  <c r="F24" i="1"/>
  <c r="G23" i="1"/>
  <c r="F23" i="1"/>
  <c r="G22" i="1"/>
  <c r="F22" i="1"/>
  <c r="G21" i="1"/>
  <c r="F21" i="1"/>
  <c r="K20" i="1"/>
  <c r="J20" i="1"/>
  <c r="I20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</calcChain>
</file>

<file path=xl/sharedStrings.xml><?xml version="1.0" encoding="utf-8"?>
<sst xmlns="http://schemas.openxmlformats.org/spreadsheetml/2006/main" count="422" uniqueCount="230">
  <si>
    <t>NORRIS UTILITIES® — MASTER PRICING &amp; DEALER PRICING REPORT</t>
  </si>
  <si>
    <t>Updated: March 31, 2026  |  Exported from QuickBooks Online  |  INTERNAL USE ONLY — Do Not Share with Customers</t>
  </si>
  <si>
    <t>Category</t>
  </si>
  <si>
    <t>Product Name</t>
  </si>
  <si>
    <t>Type</t>
  </si>
  <si>
    <t>NU Cost</t>
  </si>
  <si>
    <t>Direct Sale Price</t>
  </si>
  <si>
    <t>Direct Margin $</t>
  </si>
  <si>
    <t>Direct Margin %</t>
  </si>
  <si>
    <t>Dealer Price
(Aerial Hydraulics
&amp; ABM Equipment)</t>
  </si>
  <si>
    <t>Dealer Margin $</t>
  </si>
  <si>
    <t>Dealer Margin %</t>
  </si>
  <si>
    <t>Dealer Discount
vs Direct %</t>
  </si>
  <si>
    <t>Qty On Hand</t>
  </si>
  <si>
    <t>Notes / Flags</t>
  </si>
  <si>
    <t>QBO Full Name</t>
  </si>
  <si>
    <t xml:space="preserve">  FlexPro Armor / Soft Goods</t>
  </si>
  <si>
    <t>FlexPro Armor / Soft Goods</t>
  </si>
  <si>
    <t>"Light" Dirt Tarp, 96" x 96"</t>
  </si>
  <si>
    <t>Inventory</t>
  </si>
  <si>
    <t>Tooling and Equipment:FlexPro Armor Covers:"Light" Dirt Tarp, 96" x 96"</t>
  </si>
  <si>
    <t>Dirt Tarp 96" x 96" Reinforced - Drop Ship</t>
  </si>
  <si>
    <t>Non-inventory</t>
  </si>
  <si>
    <t>Tooling and Equipment:FlexPro Armor Covers:Dirt Tarp 96" x 96" Reinforced - Drop Ship</t>
  </si>
  <si>
    <t>Dirt Tarp, 10' x 10' (120” x 120”)</t>
  </si>
  <si>
    <t>Tooling and Equipment:FlexPro Armor Covers:Dirt Tarp, 10' x 10' (120” x 120”)</t>
  </si>
  <si>
    <t>Dirt Tarp, 10' x 10' (120” x 120”) - Drop Ship</t>
  </si>
  <si>
    <t>Tooling and Equipment:FlexPro Armor Covers:Dirt Tarp, 10' x 10' (120” x 120”) - Drop Ship</t>
  </si>
  <si>
    <t>Dirt Tarp, 8' x 8' (96" x 96")</t>
  </si>
  <si>
    <t>Tooling and Equipment:FlexPro Armor Covers:Dirt Tarp, 8' x 8' (96" x 96")</t>
  </si>
  <si>
    <t>Dirt Tarp, 8' x 8' (96" x 96") - Drop Ship</t>
  </si>
  <si>
    <t>Tooling and Equipment:FlexPro Armor Covers:Dirt Tarp, 8' x 8' (96" x 96") - Drop Ship</t>
  </si>
  <si>
    <t>FlexPro Armor 1.5-Man Bucket Cover Shield, 28" x 34" with Snap</t>
  </si>
  <si>
    <t>Tooling and Equipment:FlexPro Armor Covers:FlexPro Armor 1.5-Man Bucket Cover Shield, 28" x 34" with Snap</t>
  </si>
  <si>
    <t>FlexPro Armor 1.5-Man Bucket Cover Shield, 28" x 34" with Snap &amp; Lanyard</t>
  </si>
  <si>
    <t>Tooling and Equipment:FlexPro Armor Covers:FlexPro Armor 1.5-Man Bucket Cover Shield, 28" x 34" with Snap &amp; Lanyard</t>
  </si>
  <si>
    <t>FlexPro Armor 2-Man Bucket Cover Shield, 28" x 51" with Snap</t>
  </si>
  <si>
    <t>Tooling and Equipment:FlexPro Armor Covers:FlexPro Armor 2-Man Bucket Cover Shield, 28" x 51" with Snap</t>
  </si>
  <si>
    <t>FlexPro Armor 2-Man Bucket Cover Shield, 28" x 51" with Snap &amp; Lanyard</t>
  </si>
  <si>
    <t>Tooling and Equipment:FlexPro Armor Covers:FlexPro Armor 2-Man Bucket Cover Shield, 28" x 51" with Snap &amp; Lanyard</t>
  </si>
  <si>
    <t>FlexPro Armor ARCH Bucket Cover for 1.5-Man Bucket + Shield (Bucket Cover Bag Combo), 28" x 34"</t>
  </si>
  <si>
    <t>Tooling and Equipment:FlexPro Armor Covers:FlexPro Armor ARCH Bucket Cover for 1.5-Man Bucket + Shield (Bucket Cover Bag Combo), 28" x 34"</t>
  </si>
  <si>
    <t>FlexPro Armor ARCH Bucket Cover for 1.5-Man, 28" x 34"</t>
  </si>
  <si>
    <t>Tooling and Equipment:FlexPro Armor Covers:FlexPro Armor ARCH Bucket Cover for 1.5-Man, 28" x 34"</t>
  </si>
  <si>
    <t>FlexPro Armor ARCH Bucket Cover for 2-Man Bucket + Shield (Bucket Cover Bag Combo), 28" x 51"</t>
  </si>
  <si>
    <t>Tooling and Equipment:FlexPro Armor Covers:FlexPro Armor ARCH Bucket Cover for 2-Man Bucket + Shield (Bucket Cover Bag Combo), 28" x 51"</t>
  </si>
  <si>
    <t>FlexPro Armor ARCH Bucket Cover for 2-Man Bucket, 28" x 51"</t>
  </si>
  <si>
    <t>Tooling and Equipment:FlexPro Armor Covers:FlexPro Armor ARCH Bucket Cover for 2-Man Bucket, 28" x 51"</t>
  </si>
  <si>
    <t>FlexPro Armor Bucket Cover 1-Man Bucket (Single-Man Bucket) 28" x 28"</t>
  </si>
  <si>
    <t>Tooling and Equipment:FlexPro Armor Covers:FlexPro Armor Bucket Cover 1-Man Bucket (Single-Man Bucket) 28" x 28"</t>
  </si>
  <si>
    <t>FlexPro Armor Bucket Cover for 1.5-Man Bucket (Large 1.5-Man) - 28" x 42"</t>
  </si>
  <si>
    <t>Tooling and Equipment:FlexPro Armor Covers:FlexPro Armor Bucket Cover for 1.5-Man Bucket (Large 1.5-Man) - 28" x 42"</t>
  </si>
  <si>
    <t>FlexPro Armor Bucket Cover for 1.5-Man Bucket (Large 1.5-Man), 28" x 44"</t>
  </si>
  <si>
    <t>Tooling and Equipment:FlexPro Armor Covers:FlexPro Armor Bucket Cover for 1.5-Man Bucket (Large 1.5-Man), 28" x 44"</t>
  </si>
  <si>
    <t>FlexPro Armor Bucket Cover for 1.5-Man Bucket + Shield (Bucket Cover Bag Combo), 28" x 34"</t>
  </si>
  <si>
    <t>⚠️ NEGATIVE QTY — reconcile</t>
  </si>
  <si>
    <t>Tooling and Equipment:FlexPro Armor Covers:FlexPro Armor Bucket Cover for 1.5-Man Bucket + Shield (Bucket Cover Bag Combo), 28" x 34"</t>
  </si>
  <si>
    <t>FlexPro Armor Bucket Cover for 1.5-Man Bucket - 28" x 34"</t>
  </si>
  <si>
    <t>Tooling and Equipment:FlexPro Armor Covers:FlexPro Armor Bucket Cover for 1.5-Man Bucket - 28" x 34"</t>
  </si>
  <si>
    <t>FlexPro Armor Bucket Cover for 1.5-Man Bucket with Upper Control Cover - 28" x 34"</t>
  </si>
  <si>
    <t>Tooling and Equipment:FlexPro Armor Covers:FlexPro Armor Bucket Cover for 1.5-Man Bucket with Upper Control Cover - 28" x 34"</t>
  </si>
  <si>
    <t>FlexPro Armor Bucket Cover for 2-Man Bucket + Shield (Bucket Cover Bag Combo), 28" x 51"</t>
  </si>
  <si>
    <t>Tooling and Equipment:FlexPro Armor Covers:FlexPro Armor Bucket Cover for 2-Man Bucket + Shield (Bucket Cover Bag Combo), 28" x 51"</t>
  </si>
  <si>
    <t>FlexPro Armor Bucket Cover for 2-Man Bucket - 28" x 51"</t>
  </si>
  <si>
    <t>Tooling and Equipment:FlexPro Armor Covers:FlexPro Armor Bucket Cover for 2-Man Bucket - 28" x 51"</t>
  </si>
  <si>
    <t>FlexPro Armor Bucket Cover for EPBC ETI Buckets - 29" x 45"</t>
  </si>
  <si>
    <t>Tooling and Equipment:FlexPro Armor Covers:FlexPro Armor Bucket Cover for EPBC ETI Buckets - 29" x 45"</t>
  </si>
  <si>
    <t>FlexPro Armor Bucket Cover for Transmission "D-Shape" Bucket with Upper Control Cover - SMALL</t>
  </si>
  <si>
    <t>Missing sale price</t>
  </si>
  <si>
    <t>Tooling and Equipment:FlexPro Armor Covers:FlexPro Armor Bucket Cover for Transmission "D-Shape" Bucket with Upper Control Cover - SMALL</t>
  </si>
  <si>
    <t>FlexPro Armor Bucket and Upper Control Cover for D-Shape Transmission Bucket - 45" x 77"</t>
  </si>
  <si>
    <t>Tooling and Equipment:FlexPro Armor Covers:FlexPro Armor Bucket and Upper Control Cover for D-Shape Transmission Bucket - 45" x 77"</t>
  </si>
  <si>
    <t>FlexPro Armor Bucket for SDP's, &amp; other, 1-Man Pin-On Buckets with Bracket Relief (28" x 28")</t>
  </si>
  <si>
    <t>Tooling and Equipment:FlexPro Armor Covers:FlexPro Armor Bucket for SDP's, &amp; other, 1-Man Pin-On Buckets with Bracket Relief (28" x 28")</t>
  </si>
  <si>
    <t>FlexPro Armor Guard Bucket Cover for 1.5-Man Bucket with Upper Control Cover - 28" x 34"</t>
  </si>
  <si>
    <t>⚠️ "Guard" in name — verify branding</t>
  </si>
  <si>
    <t>Tooling and Equipment:FlexPro Armor Covers:FlexPro Armor Guard Bucket Cover for 1.5-Man Bucket with Upper Control Cover - 28" x 34"</t>
  </si>
  <si>
    <t>FlexPro Armor Guard Bucket Cover for 1.5-Man Bucket with Upper Control Cover - 28" x 34", V2 Design</t>
  </si>
  <si>
    <t>⚠️ "Guard" in name — verify branding; Missing cost</t>
  </si>
  <si>
    <t>Tooling and Equipment:FlexPro Armor Covers:FlexPro Armor Guard Bucket Cover for 1.5-Man Bucket with Upper Control Cover - 28" x 34", V2 Design</t>
  </si>
  <si>
    <t>FlexPro Armor Guard Bucket Cover for D-Shape Transmission Bucket - 45" x 77"</t>
  </si>
  <si>
    <t>Tooling and Equipment:FlexPro Armor Covers:FlexPro Armor Guard Bucket Cover for D-Shape Transmission Bucket - 45" x 77"</t>
  </si>
  <si>
    <t>FlexPro Armor Guard Bucket Cover for D-Shape Transmission Bucket - 45" x 77" - MSP</t>
  </si>
  <si>
    <t>Tooling and Equipment:FlexPro Armor Guard Bucket Cover for D-Shape Transmission Bucket - 45" x 77" - MSP</t>
  </si>
  <si>
    <t>FlexPro Armor Test Tank Cover 60" X 60"</t>
  </si>
  <si>
    <t>Tooling and Equipment:FlexPro Armor Covers:FlexPro Armor Test Tank Cover 60" X 60"</t>
  </si>
  <si>
    <t>FlexPro Bucket Cover for 1.5-Man Bucket - 28" x 34</t>
  </si>
  <si>
    <t>Tooling and Equipment:FlexPro Armor Covers:FlexPro Bucket Cover for 1.5-Man Bucket - 28" x 34</t>
  </si>
  <si>
    <t>FlexPro Bucket Cover for 1.5-Man Bucket w/ Upper Control Cover - 28" x 34" Altec AT40G Prototype V3</t>
  </si>
  <si>
    <t>Tooling and Equipment:FlexPro Armor Covers:FlexPro Bucket Cover for 1.5-Man Bucket w/ Upper Control Cover - 28" x 34" Altec AT40G Prototype V3</t>
  </si>
  <si>
    <t>FlexPro Bucket Cover for 1.5-Man Bucket w/ Upper Control Cover - 28" x 34" Altec AT40G Prototype V4</t>
  </si>
  <si>
    <t>Tooling and Equipment:FlexPro Armor Covers:FlexPro Bucket Cover for 1.5-Man Bucket w/ Upper Control Cover - 28" x 34" Altec AT40G Prototype V4</t>
  </si>
  <si>
    <t>FlexPro Soft 2-Man Bucket Cover, 28" x 51"</t>
  </si>
  <si>
    <t>Tooling and Equipment:FlexPro Armor Covers:FlexPro Soft 2-Man Bucket Cover, 28" x 51"</t>
  </si>
  <si>
    <t>Grunt Bag/Nose Bag (Canvas)</t>
  </si>
  <si>
    <t>Low margin (&lt;30%)</t>
  </si>
  <si>
    <t>Tooling and Equipment:FlexPro Armor Covers:Grunt Bag/Nose Bag (Canvas)</t>
  </si>
  <si>
    <t>Magnetic Tool Board, by Norris Utilities</t>
  </si>
  <si>
    <t>Tooling and Equipment:FlexPro Armor Covers:Magnetic Tool Board, by Norris Utilities</t>
  </si>
  <si>
    <t>Pole Jacking Assembly w/ 3 ft Threaded Rod</t>
  </si>
  <si>
    <t>Tooling and Equipment:FlexPro Armor Covers:Pole Jacking Assembly w/ 3 ft Threaded Rod</t>
  </si>
  <si>
    <t>Pole Notch Dirt Tarp, 8' x 8' (96" x 96") - Drop Ship</t>
  </si>
  <si>
    <t>Tooling and Equipment:FlexPro Armor Covers:Pole Notch Dirt Tarp, 8' x 8' (96" x 96") - Drop Ship</t>
  </si>
  <si>
    <t>Terex's FlexPro Armor Bucket Cover for 1.5-Man Bucket, 28" x 34"</t>
  </si>
  <si>
    <t>Tooling and Equipment:FlexPro Armor Covers:Terex's FlexPro Armor Bucket Cover for 1.5-Man Bucket, 28" x 34"</t>
  </si>
  <si>
    <t>Terex's FlexPro Armor Bucket Cover for 2-Man Bucket, 28" x 51"</t>
  </si>
  <si>
    <t>Tooling and Equipment:FlexPro Armor Covers:Terex's FlexPro Armor Bucket Cover for 2-Man Bucket, 28" x 51"</t>
  </si>
  <si>
    <t xml:space="preserve">  Samson Rope</t>
  </si>
  <si>
    <t>Samson Rope</t>
  </si>
  <si>
    <t>Samson Rope AMSTEEL® II 1-1/8" x 120' for Altec DM47 &amp; Terex 4045.</t>
  </si>
  <si>
    <t>Tooling and Equipment:Samson Rope AMSTEEL® II 1-1/8" x 120' for Altec DM47 &amp; Terex 4045.</t>
  </si>
  <si>
    <t>Samson Rope AMSTEEL®- BLUE 1/2" x 100' for SDP Backyard Digger Turret.</t>
  </si>
  <si>
    <t>Tooling and Equipment:Samson Rope AMSTEEL®- BLUE 1/2" x 100' for SDP Backyard Digger Turret.</t>
  </si>
  <si>
    <t>Samson Rope AMSTEEL®-BLUE 1" x 160' for Altec D3055, 4060A, 4060B, &amp; Terex 6060 Turret</t>
  </si>
  <si>
    <t>Tooling and Equipment:Samson Rope AMSTEEL®-BLUE 1" x 160' for Altec D3055, 4060A, 4060B, &amp; Terex 6060 Turret</t>
  </si>
  <si>
    <t>Samson Rope AMSTEEL®-BLUE 1/2" x 100', Coated Blue, with Galvanized HD Wire Thimble for SDP</t>
  </si>
  <si>
    <t>Tooling and Equipment:Samson Rope AMSTEEL®-BLUE 1/2" x 100', Coated Blue, with Galvanized HD Wire Thimble for SDP</t>
  </si>
  <si>
    <t>Samson Rope AMSTEEL®-BLUE 13/16" x 120' for Altec DH50 (Pilot Program)</t>
  </si>
  <si>
    <t>Tooling and Equipment:Samson Rope AMSTEEL®-BLUE 13/16" x 120' for Altec DH50 (Pilot Program)</t>
  </si>
  <si>
    <t>Samson Rope DASH 4 NYLITE SHACKLE W/ BOLT</t>
  </si>
  <si>
    <t>Tooling and Equipment:Samson Rope DASH 4 NYLITE SHACKLE W/ BOLT</t>
  </si>
  <si>
    <t>Samson Rope NYLITE™ Class II Assembly Shield, Spool, and Shackle, ALUM SPL,SH,SKL 4 ORANGE.</t>
  </si>
  <si>
    <t>Tooling and Equipment:Samson Rope NYLITE™ Class II Assembly Shield, Spool, and Shackle, ALUM SPL,SH,SKL 4 ORANGE.</t>
  </si>
  <si>
    <t>Samson Rope NYLITE™ Class II Spool/Shield/Shackle 5 Black</t>
  </si>
  <si>
    <t>Tooling and Equipment:Samson Rope NYLITE™ Class II Spool/Shield/Shackle 5 Black</t>
  </si>
  <si>
    <t>Samson Rope Nylite Assembly Shield and Spool ONLY, ALUM SPL &amp; SHD 1 BLU.</t>
  </si>
  <si>
    <t>Tooling and Equipment:Samson Rope Nylite Assembly Shield and Spool ONLY, ALUM SPL &amp; SHD 1 BLU.</t>
  </si>
  <si>
    <t>Samson Rope Nylite Assembly Shield and Spool ONLY, ALUM SPL &amp; SHD 4 ORG.</t>
  </si>
  <si>
    <t>Tooling and Equipment:Samson Rope Nylite Assembly Shield and Spool ONLY, ALUM SPL &amp; SHD 4 ORG.</t>
  </si>
  <si>
    <t>Samson Rope Nylite Assembly Shield and Spool ONLY, ALUM SPL &amp; SHD 5 BLK.</t>
  </si>
  <si>
    <t>Tooling and Equipment:Samson Rope Nylite Assembly Shield and Spool ONLY, ALUM SPL &amp; SHD 5 BLK.</t>
  </si>
  <si>
    <t>Samson Rope Nylite Assembly Shield and Spool ONLY, NYL SPL &amp; SHD 1 BLU.</t>
  </si>
  <si>
    <t>Tooling and Equipment:Samson Rope Nylite Assembly Shield and Spool ONLY, NYL SPL &amp; SHD 1 BLU.</t>
  </si>
  <si>
    <t>Samson Rope STABLE BRAID™ 1/2" x 105' for Altec A72T &amp; AH100.</t>
  </si>
  <si>
    <t>Tooling and Equipment:Samson Rope STABLE BRAID™ 1/2" x 105' for Altec A72T &amp; AH100.</t>
  </si>
  <si>
    <t>Samson Rope STABLE BRAID™ 1/2" x 105' with Galvanized HD Wire Thimble One End for Altec A72T &amp; AH100</t>
  </si>
  <si>
    <t>Tooling and Equipment:Samson Rope STABLE BRAID™ 1/2" x 105' with Galvanized HD Wire Thimble One End for Altec A72T &amp; AH100</t>
  </si>
  <si>
    <t>Samson Rope STABLE BRAID™ 1/2" x 65' for SDP Backyard Digger Jib Line.</t>
  </si>
  <si>
    <t>Tooling and Equipment:Samson Rope STABLE BRAID™ 1/2" x 65' for SDP Backyard Digger Jib Line.</t>
  </si>
  <si>
    <t>Samson Rope STABLE BRAID™ 1/2" x 80' with Galvanized HD Wire Thimble One End for Altec AA55, AA50</t>
  </si>
  <si>
    <t>Tooling and Equipment:Samson Rope STABLE BRAID™ 1/2" x 80' with Galvanized HD Wire Thimble One End for Altec AA55, AA50</t>
  </si>
  <si>
    <t>Samson Rope STABLE BRAID™ 1/2"x 80' for Altec AA55, AA50, &amp; AM55 with 3" Eye at both ends</t>
  </si>
  <si>
    <t>Tooling and Equipment:Samson Rope STABLE BRAID™ 1/2"x 80' for Altec AA55, AA50, &amp; AM55 with 3" Eye at both ends</t>
  </si>
  <si>
    <t>Samson Rope STABLE BRAID™ 1/2"x 80' for Altec AA55, AA50, &amp; AM55 with spool shield and shackle</t>
  </si>
  <si>
    <t>Tooling and Equipment:Samson Rope STABLE BRAID™ 1/2"x 80' for Altec AA55, AA50, &amp; AM55 with spool shield and shackle</t>
  </si>
  <si>
    <t>Samson Rope STABLE BRAID™ 1/2D x 80' with galvanized HD wire thimble on one end and 3" eye</t>
  </si>
  <si>
    <t>Tooling and Equipment:Samson Rope STABLE BRAID™ 1/2D x 80' with galvanized HD wire thimble on one end and 3" eye</t>
  </si>
  <si>
    <t>Samson Rope STABLE BRAID™ 7/16" x 65' for Altec AT-40M &amp; 41M with 3" Eye on each end</t>
  </si>
  <si>
    <t>Tooling and Equipment:Samson Rope STABLE BRAID™ 7/16" x 65' for Altec AT-40M &amp; 41M with 3" Eye on each end</t>
  </si>
  <si>
    <t>Samson Rope STABLE BRAID™ 7/16" x 65' for Altec AT-40M &amp; 41M with spool shield and shackle</t>
  </si>
  <si>
    <t>Tooling and Equipment:Samson Rope STABLE BRAID™ 7/16" x 65' for Altec AT-40M &amp; 41M with spool shield and shackle</t>
  </si>
  <si>
    <t>Samson Rope TENEX™ 1/2" x 6000' with 3" Eyes at Both ends for 4 Drum Puller (Coated BLUE)</t>
  </si>
  <si>
    <t>Tooling and Equipment:Samson Rope TENEX™ 1/2" x 6000' with 3" Eyes at Both ends for 4 Drum Puller (Coated BLUE)</t>
  </si>
  <si>
    <t>Samson Rope TENEX™ 1/2" x 6000' with 3" Eyes at Both ends for 4 Drum Puller (Coated GREEN)</t>
  </si>
  <si>
    <t>Tooling and Equipment:Samson Rope TENEX™ 1/2" x 6000' with 3" Eyes at Both ends for 4 Drum Puller (Coated GREEN)</t>
  </si>
  <si>
    <t>Samson Rope TENEX™ 1/2" x 6000' with 3" Eyes at Both ends for 4 Drum Puller (Coated RED)</t>
  </si>
  <si>
    <t>Tooling and Equipment:Samson Rope TENEX™ 1/2" x 6000' with 3" Eyes at Both ends for 4 Drum Puller (Coated RED)</t>
  </si>
  <si>
    <t>Samson Rope TENEX™ 1/2" x 6000' with 3" Eyes at Both ends for 4 Drum Puller (Coated YELLOW)</t>
  </si>
  <si>
    <t>Tooling and Equipment:Samson Rope TENEX™ 1/2" x 6000' with 3" Eyes at Both ends for 4 Drum Puller (Coated YELLOW)</t>
  </si>
  <si>
    <t>Samson Rope TENEX™ 1/2" x 8000' with 3" Eyes at Both ends for 4 Drum Puller (Coated BLUE)</t>
  </si>
  <si>
    <t>Tooling and Equipment:Samson Rope TENEX™ 1/2" x 8000' with 3" Eyes at Both ends for 4 Drum Puller (Coated BLUE)</t>
  </si>
  <si>
    <t>Samson Rope TENEX™ 1/2" x 8000' with 3" Eyes at Bothe ends for 4 Drum Puller (Coated RED)</t>
  </si>
  <si>
    <t>Tooling and Equipment:Samson Rope TENEX™ 1/2" x 8000' with 3" Eyes at Bothe ends for 4 Drum Puller (Coated RED)</t>
  </si>
  <si>
    <t>Samson Rope TENEX™ 1/2" x 8000' with 3" Eyes at Bothe ends for 4 Drum Puller (Coated YELLOW)</t>
  </si>
  <si>
    <t>Tooling and Equipment:Samson Rope TENEX™ 1/2" x 8000' with 3" Eyes at Bothe ends for 4 Drum Puller (Coated YELLOW)</t>
  </si>
  <si>
    <t>Samson Rope TENEX™ 1/2" x 8000' with 3" Eyes at both ends for 4 Drum Puller (Coated GREEN)</t>
  </si>
  <si>
    <t>Tooling and Equipment:Samson Rope TENEX™ 1/2" x 8000' with 3" Eyes at both ends for 4 Drum Puller (Coated GREEN)</t>
  </si>
  <si>
    <t xml:space="preserve">  SDP Parts</t>
  </si>
  <si>
    <t>SDP Parts</t>
  </si>
  <si>
    <t>SDP - EZ3000 and EZ5500 Crane harness VC</t>
  </si>
  <si>
    <t>Tooling and Equipment:SDP - EZ3000 and EZ5500 Crane harness VC</t>
  </si>
  <si>
    <t>SDP - EZ3000 and EZ5500 Drive harness VC</t>
  </si>
  <si>
    <t>Tooling and Equipment:SDP - EZ3000 and EZ5500 Drive harness VC</t>
  </si>
  <si>
    <t>SDP - Elite series radio transmitter (for EZ3000 and EZ5500)</t>
  </si>
  <si>
    <t>Tooling and Equipment:SDP - Elite series radio transmitter (for EZ3000 and EZ5500)</t>
  </si>
  <si>
    <t>SDP - Engine Control Kit, All Models</t>
  </si>
  <si>
    <t>Tooling and Equipment:SDP - Engine Control Kit, All Models</t>
  </si>
  <si>
    <t>SDP - VC Crane Receiver</t>
  </si>
  <si>
    <t>Tooling and Equipment:SDP - VC Crane Receiver</t>
  </si>
  <si>
    <t>SDP - VC-93 Drive receiver for EZ3000 and EZ5500</t>
  </si>
  <si>
    <t>Tooling and Equipment:SDP - VC-93 Drive receiver for EZ3000 and EZ5500</t>
  </si>
  <si>
    <t xml:space="preserve">  Trailers</t>
  </si>
  <si>
    <t>Trailers</t>
  </si>
  <si>
    <t>Boss Products SA-TP2433 Single Axle Telescoping Pole Trailer</t>
  </si>
  <si>
    <t>⚠️ LOW MARGIN (&lt;20%)</t>
  </si>
  <si>
    <t>Tooling and Equipment:Trailers:Boss Products SA-TP2433 Single Axle Telescoping Pole Trailer</t>
  </si>
  <si>
    <t>ReelStrong CP3 Coil Pipe Trailer</t>
  </si>
  <si>
    <t>Tooling and Equipment:Trailers:ReelStrong CP3 Coil Pipe Trailer</t>
  </si>
  <si>
    <t xml:space="preserve">  Rental Equipment</t>
  </si>
  <si>
    <t>Rental Equipment</t>
  </si>
  <si>
    <t>Mechanic's Truck / Service Truck</t>
  </si>
  <si>
    <t>Rental Contract(s):Mechanic's Truck / Service Truck</t>
  </si>
  <si>
    <t xml:space="preserve">  Services</t>
  </si>
  <si>
    <t>Services</t>
  </si>
  <si>
    <t>Bay Shore Systems - Retained Independent Rep. Fee</t>
  </si>
  <si>
    <t>Service</t>
  </si>
  <si>
    <t>Missing cost</t>
  </si>
  <si>
    <t>Training &amp; Services:Bay Shore Systems - Retained Independent Rep. Fee</t>
  </si>
  <si>
    <t>Training &amp; Services - Travel &amp; Expense Day 1</t>
  </si>
  <si>
    <t>Training &amp; Services:Training &amp; Services - Travel &amp; Expense Day 1</t>
  </si>
  <si>
    <t>Training &amp; Services - Travel &amp; Expense Day 2</t>
  </si>
  <si>
    <t>Training &amp; Services:Training &amp; Services - Travel &amp; Expense Day 2</t>
  </si>
  <si>
    <t>Training &amp; Services - Travel &amp; Expense Day 3</t>
  </si>
  <si>
    <t>Training &amp; Services:Training &amp; Services - Travel &amp; Expense Day 3</t>
  </si>
  <si>
    <t>Training &amp; Services - Travel &amp; Expense Day 4</t>
  </si>
  <si>
    <t>Training &amp; Services:Training &amp; Services - Travel &amp; Expense Day 4</t>
  </si>
  <si>
    <t xml:space="preserve">  Fees &amp; Services</t>
  </si>
  <si>
    <t>Fees &amp; Services</t>
  </si>
  <si>
    <t>Credit Card Processing Fee</t>
  </si>
  <si>
    <t>Credit Card Processing:Credit Card Processing Fee</t>
  </si>
  <si>
    <t>Tollway Fee</t>
  </si>
  <si>
    <t>Toll Fee:Tollway Fee</t>
  </si>
  <si>
    <t>DEALER PRICING SUMMARY — QBO "Dealer Discount" Price Rule</t>
  </si>
  <si>
    <t>Rule Name:</t>
  </si>
  <si>
    <t>Dealer Discount</t>
  </si>
  <si>
    <t>Customers on Rule:</t>
  </si>
  <si>
    <t>Aerial Hydraulics, ABM Equipment, + 1 other (verify in QBO)</t>
  </si>
  <si>
    <t>Products on Rule:</t>
  </si>
  <si>
    <t>5 FlexPro Armor bucket covers (see highlighted rows above)</t>
  </si>
  <si>
    <t>Price Method:</t>
  </si>
  <si>
    <t>Custom fixed price per item (not percentage-based)</t>
  </si>
  <si>
    <t>Source:</t>
  </si>
  <si>
    <t>QBO Price Rules — verified March 31, 2026</t>
  </si>
  <si>
    <t>ACTION ITEMS</t>
  </si>
  <si>
    <t>1. Fix "FlexPro Armor Guard" naming in QBO — should be "FlexPro Armor" (no "Guard"). Multiple items affected.</t>
  </si>
  <si>
    <t>2. SKU BC-CC2834 should use NU-BC prefix to match other FlexPro Armor products.</t>
  </si>
  <si>
    <t>3. Verify the 3rd customer on the Dealer Discount rule (screenshot showed 3 customers — who is the third?).</t>
  </si>
  <si>
    <t>4. Reconcile negative inventory: 1.5-Man + Shield Combo (-12), 2-Man + Shield Combo (-21), EPBC ETI (-9), Magnetic Tool Board (-1).</t>
  </si>
  <si>
    <t>5. Several items missing cost or sale price — review and update in QBO.</t>
  </si>
  <si>
    <t>6. Consider adding dealer pricing for additional products beyond the 5 currently on the rule (Samson Rope, ARCH covers, etc.).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</si>
</sst>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Lato"/>
    </font>
    <font>
      <i/>
      <sz val="9"/>
      <color rgb="FFFFFFFF"/>
      <name val="Lato"/>
    </font>
    <font>
      <b/>
      <sz val="10"/>
      <color rgb="FFFFFFFF"/>
      <name val="Lato"/>
    </font>
    <font>
      <b/>
      <sz val="11"/>
      <color rgb="FF0000FF"/>
      <name val="Lato"/>
    </font>
    <font>
      <sz val="10"/>
      <color rgb="FF000000"/>
      <name val="Lato"/>
    </font>
    <font>
      <sz val="9"/>
      <color rgb="FF757575"/>
      <name val="Lato"/>
    </font>
    <font>
      <b/>
      <sz val="10"/>
      <color rgb="FF000000"/>
      <name val="Lato"/>
    </font>
    <font>
      <b/>
      <sz val="10"/>
      <color rgb="FFFF0000"/>
      <name val="Lato"/>
    </font>
    <font>
      <b/>
      <sz val="11"/>
      <color rgb="FFFFFFFF"/>
      <name val="Lato"/>
    </font>
  </fonts>
  <fills count="12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333333"/>
        <bgColor rgb="FF333300"/>
      </patternFill>
    </fill>
    <fill>
      <patternFill patternType="solid">
        <fgColor rgb="FFE65100"/>
        <bgColor rgb="FFD32F2F"/>
      </patternFill>
    </fill>
    <fill>
      <patternFill patternType="solid">
        <fgColor rgb="FF1565C0"/>
        <bgColor rgb="FF3366FF"/>
      </patternFill>
    </fill>
    <fill>
      <patternFill patternType="solid">
        <fgColor rgb="FF3F51B5"/>
        <bgColor rgb="FF1565C0"/>
      </patternFill>
    </fill>
    <fill>
      <patternFill patternType="solid">
        <fgColor rgb="FFE3F2FD"/>
        <bgColor rgb="FFE8EAF6"/>
      </patternFill>
    </fill>
    <fill>
      <patternFill patternType="solid">
        <fgColor rgb="FFFAFAFA"/>
        <bgColor rgb="FFFFFFFF"/>
      </patternFill>
    </fill>
    <fill>
      <patternFill patternType="solid">
        <fgColor rgb="FFF5F5F5"/>
        <bgColor rgb="FFFAFAFA"/>
      </patternFill>
    </fill>
    <fill>
      <patternFill patternType="solid">
        <fgColor rgb="FFE8EAF6"/>
        <bgColor rgb="FFE3F2FD"/>
      </patternFill>
    </fill>
    <fill>
      <patternFill patternType="solid">
        <fgColor rgb="FFD32F2F"/>
        <bgColor rgb="FFE65100"/>
      </patternFill>
    </fill>
  </fills>
  <borders count="4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vertical="center" wrapText="1"/>
    </xf>
    <xf numFmtId="164" fontId="5" fillId="8" borderId="1" xfId="0" applyNumberFormat="1" applyFont="1" applyFill="1" applyBorder="1" applyAlignment="1">
      <alignment vertical="center"/>
    </xf>
    <xf numFmtId="165" fontId="5" fillId="8" borderId="1" xfId="0" applyNumberFormat="1" applyFont="1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6" fillId="8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vertical="center" wrapText="1"/>
    </xf>
    <xf numFmtId="164" fontId="7" fillId="10" borderId="1" xfId="0" applyNumberFormat="1" applyFont="1" applyFill="1" applyBorder="1" applyAlignment="1">
      <alignment vertical="center"/>
    </xf>
    <xf numFmtId="164" fontId="5" fillId="10" borderId="1" xfId="0" applyNumberFormat="1" applyFont="1" applyFill="1" applyBorder="1" applyAlignment="1">
      <alignment vertical="center"/>
    </xf>
    <xf numFmtId="165" fontId="5" fillId="10" borderId="1" xfId="0" applyNumberFormat="1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8" fillId="8" borderId="1" xfId="0" applyFont="1" applyFill="1" applyBorder="1" applyAlignment="1">
      <alignment vertical="center"/>
    </xf>
    <xf numFmtId="0" fontId="8" fillId="8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vertical="center"/>
    </xf>
    <xf numFmtId="0" fontId="7" fillId="0" borderId="1" xfId="0" applyFont="1" applyBorder="1"/>
    <xf numFmtId="0" fontId="4" fillId="7" borderId="1" xfId="0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5" fillId="0" borderId="1" xfId="0" applyFont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0" borderId="1" xfId="0" applyFont="1" applyBorder="1"/>
    <xf numFmtId="0" fontId="9" fillId="6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757575"/>
      <rgbColor rgb="FF9999FF"/>
      <rgbColor rgb="FF993366"/>
      <rgbColor rgb="FFFAFAFA"/>
      <rgbColor rgb="FFE3F2FD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AF6"/>
      <rgbColor rgb="FFF5F5F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003366"/>
      <rgbColor rgb="FF339966"/>
      <rgbColor rgb="FF003300"/>
      <rgbColor rgb="FF333300"/>
      <rgbColor rgb="FFD32F2F"/>
      <rgbColor rgb="FF993366"/>
      <rgbColor rgb="FF3F51B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12"/>
  <sheetViews>
    <sheetView tabSelected="1" zoomScaleNormal="100" workbookViewId="0">
      <pane ySplit="4" topLeftCell="A5" activePane="bottomLeft" state="frozen"/>
      <selection pane="bottomLeft" sqref="A1:N1"/>
    </sheetView>
  </sheetViews>
  <sheetFormatPr baseColWidth="10" defaultColWidth="8.6640625" defaultRowHeight="15" x14ac:dyDescent="0.2"/>
  <cols>
    <col min="1" max="1" width="18" customWidth="1"/>
    <col min="2" max="2" width="50" customWidth="1"/>
    <col min="3" max="3" width="14" customWidth="1"/>
    <col min="4" max="4" width="12" customWidth="1"/>
    <col min="5" max="5" width="16" customWidth="1"/>
    <col min="6" max="7" width="14" customWidth="1"/>
    <col min="8" max="8" width="22" customWidth="1"/>
    <col min="9" max="10" width="14" customWidth="1"/>
    <col min="11" max="11" width="16" customWidth="1"/>
    <col min="12" max="12" width="12" customWidth="1"/>
    <col min="13" max="13" width="30" customWidth="1"/>
    <col min="14" max="14" width="55" customWidth="1"/>
  </cols>
  <sheetData>
    <row r="1" spans="1:14" ht="34.5" customHeight="1" x14ac:dyDescent="0.2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</row>
    <row r="2" spans="1:14" ht="21.75" customHeight="1" x14ac:dyDescent="0.2">
      <c r="A2" s="34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4" ht="6" customHeight="1" x14ac:dyDescent="0.2"/>
    <row r="4" spans="1:14" ht="49.5" customHeight="1" x14ac:dyDescent="0.2">
      <c r="A4" s="1" t="s">
        <v>2</v>
      </c>
      <c r="B4" s="1" t="s">
        <v>3</v>
      </c>
      <c r="C4" s="1" t="s">
        <v>4</v>
      </c>
      <c r="D4" s="2" t="s">
        <v>5</v>
      </c>
      <c r="E4" s="3" t="s">
        <v>6</v>
      </c>
      <c r="F4" s="3" t="s">
        <v>7</v>
      </c>
      <c r="G4" s="3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1" t="s">
        <v>13</v>
      </c>
      <c r="M4" s="1" t="s">
        <v>14</v>
      </c>
      <c r="N4" s="1" t="s">
        <v>15</v>
      </c>
    </row>
    <row r="5" spans="1:14" ht="24" customHeight="1" x14ac:dyDescent="0.2">
      <c r="A5" s="26" t="s">
        <v>16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8"/>
    </row>
    <row r="6" spans="1:14" ht="22.25" customHeight="1" x14ac:dyDescent="0.2">
      <c r="A6" s="5" t="s">
        <v>17</v>
      </c>
      <c r="B6" s="6" t="s">
        <v>18</v>
      </c>
      <c r="C6" s="5" t="s">
        <v>19</v>
      </c>
      <c r="D6" s="7">
        <v>126</v>
      </c>
      <c r="E6" s="7">
        <v>250</v>
      </c>
      <c r="F6" s="7">
        <f t="shared" ref="F6:F28" si="0">E6-D6</f>
        <v>124</v>
      </c>
      <c r="G6" s="8">
        <f t="shared" ref="G6:G28" si="1">IF(E6=0,"",((E6-D6)/E6))</f>
        <v>0.496</v>
      </c>
      <c r="H6" s="9"/>
      <c r="I6" s="9"/>
      <c r="J6" s="9"/>
      <c r="K6" s="9"/>
      <c r="L6" s="5">
        <v>0</v>
      </c>
      <c r="M6" s="6"/>
      <c r="N6" s="10" t="s">
        <v>20</v>
      </c>
    </row>
    <row r="7" spans="1:14" ht="22.25" customHeight="1" x14ac:dyDescent="0.2">
      <c r="A7" s="11" t="s">
        <v>17</v>
      </c>
      <c r="B7" s="12" t="s">
        <v>21</v>
      </c>
      <c r="C7" s="11" t="s">
        <v>22</v>
      </c>
      <c r="D7" s="13">
        <v>246.5</v>
      </c>
      <c r="E7" s="13">
        <v>510</v>
      </c>
      <c r="F7" s="13">
        <f t="shared" si="0"/>
        <v>263.5</v>
      </c>
      <c r="G7" s="14">
        <f t="shared" si="1"/>
        <v>0.51666666666666672</v>
      </c>
      <c r="H7" s="9"/>
      <c r="I7" s="9"/>
      <c r="J7" s="9"/>
      <c r="K7" s="9"/>
      <c r="L7" s="15"/>
      <c r="M7" s="12"/>
      <c r="N7" s="16" t="s">
        <v>23</v>
      </c>
    </row>
    <row r="8" spans="1:14" ht="22.25" customHeight="1" x14ac:dyDescent="0.2">
      <c r="A8" s="5" t="s">
        <v>17</v>
      </c>
      <c r="B8" s="6" t="s">
        <v>24</v>
      </c>
      <c r="C8" s="5" t="s">
        <v>19</v>
      </c>
      <c r="D8" s="7">
        <v>292</v>
      </c>
      <c r="E8" s="7">
        <v>550</v>
      </c>
      <c r="F8" s="7">
        <f t="shared" si="0"/>
        <v>258</v>
      </c>
      <c r="G8" s="8">
        <f t="shared" si="1"/>
        <v>0.46909090909090911</v>
      </c>
      <c r="H8" s="9"/>
      <c r="I8" s="9"/>
      <c r="J8" s="9"/>
      <c r="K8" s="9"/>
      <c r="L8" s="5">
        <v>0</v>
      </c>
      <c r="M8" s="6"/>
      <c r="N8" s="10" t="s">
        <v>25</v>
      </c>
    </row>
    <row r="9" spans="1:14" ht="22.25" customHeight="1" x14ac:dyDescent="0.2">
      <c r="A9" s="11" t="s">
        <v>17</v>
      </c>
      <c r="B9" s="12" t="s">
        <v>26</v>
      </c>
      <c r="C9" s="11" t="s">
        <v>22</v>
      </c>
      <c r="D9" s="13">
        <v>292</v>
      </c>
      <c r="E9" s="13">
        <v>550</v>
      </c>
      <c r="F9" s="13">
        <f t="shared" si="0"/>
        <v>258</v>
      </c>
      <c r="G9" s="14">
        <f t="shared" si="1"/>
        <v>0.46909090909090911</v>
      </c>
      <c r="H9" s="9"/>
      <c r="I9" s="9"/>
      <c r="J9" s="9"/>
      <c r="K9" s="9"/>
      <c r="L9" s="15"/>
      <c r="M9" s="12"/>
      <c r="N9" s="16" t="s">
        <v>27</v>
      </c>
    </row>
    <row r="10" spans="1:14" ht="22.25" customHeight="1" x14ac:dyDescent="0.2">
      <c r="A10" s="5" t="s">
        <v>17</v>
      </c>
      <c r="B10" s="6" t="s">
        <v>28</v>
      </c>
      <c r="C10" s="5" t="s">
        <v>19</v>
      </c>
      <c r="D10" s="7">
        <v>226.5</v>
      </c>
      <c r="E10" s="7">
        <v>450</v>
      </c>
      <c r="F10" s="7">
        <f t="shared" si="0"/>
        <v>223.5</v>
      </c>
      <c r="G10" s="8">
        <f t="shared" si="1"/>
        <v>0.49666666666666665</v>
      </c>
      <c r="H10" s="9"/>
      <c r="I10" s="9"/>
      <c r="J10" s="9"/>
      <c r="K10" s="9"/>
      <c r="L10" s="5">
        <v>1</v>
      </c>
      <c r="M10" s="6"/>
      <c r="N10" s="10" t="s">
        <v>29</v>
      </c>
    </row>
    <row r="11" spans="1:14" ht="22.25" customHeight="1" x14ac:dyDescent="0.2">
      <c r="A11" s="11" t="s">
        <v>17</v>
      </c>
      <c r="B11" s="12" t="s">
        <v>30</v>
      </c>
      <c r="C11" s="11" t="s">
        <v>22</v>
      </c>
      <c r="D11" s="13">
        <v>225</v>
      </c>
      <c r="E11" s="13">
        <v>450</v>
      </c>
      <c r="F11" s="13">
        <f t="shared" si="0"/>
        <v>225</v>
      </c>
      <c r="G11" s="14">
        <f t="shared" si="1"/>
        <v>0.5</v>
      </c>
      <c r="H11" s="9"/>
      <c r="I11" s="9"/>
      <c r="J11" s="9"/>
      <c r="K11" s="9"/>
      <c r="L11" s="15"/>
      <c r="M11" s="12"/>
      <c r="N11" s="16" t="s">
        <v>31</v>
      </c>
    </row>
    <row r="12" spans="1:14" ht="23.75" customHeight="1" x14ac:dyDescent="0.2">
      <c r="A12" s="5" t="s">
        <v>17</v>
      </c>
      <c r="B12" s="6" t="s">
        <v>32</v>
      </c>
      <c r="C12" s="5" t="s">
        <v>19</v>
      </c>
      <c r="D12" s="7">
        <v>23.5</v>
      </c>
      <c r="E12" s="7">
        <v>40</v>
      </c>
      <c r="F12" s="7">
        <f t="shared" si="0"/>
        <v>16.5</v>
      </c>
      <c r="G12" s="8">
        <f t="shared" si="1"/>
        <v>0.41249999999999998</v>
      </c>
      <c r="H12" s="9"/>
      <c r="I12" s="9"/>
      <c r="J12" s="9"/>
      <c r="K12" s="9"/>
      <c r="L12" s="5">
        <v>2</v>
      </c>
      <c r="M12" s="6"/>
      <c r="N12" s="10" t="s">
        <v>33</v>
      </c>
    </row>
    <row r="13" spans="1:14" ht="23.75" customHeight="1" x14ac:dyDescent="0.2">
      <c r="A13" s="11" t="s">
        <v>17</v>
      </c>
      <c r="B13" s="12" t="s">
        <v>34</v>
      </c>
      <c r="C13" s="11" t="s">
        <v>19</v>
      </c>
      <c r="D13" s="13">
        <v>23</v>
      </c>
      <c r="E13" s="13">
        <v>45</v>
      </c>
      <c r="F13" s="13">
        <f t="shared" si="0"/>
        <v>22</v>
      </c>
      <c r="G13" s="14">
        <f t="shared" si="1"/>
        <v>0.48888888888888887</v>
      </c>
      <c r="H13" s="9"/>
      <c r="I13" s="9"/>
      <c r="J13" s="9"/>
      <c r="K13" s="9"/>
      <c r="L13" s="11">
        <v>26</v>
      </c>
      <c r="M13" s="12"/>
      <c r="N13" s="16" t="s">
        <v>35</v>
      </c>
    </row>
    <row r="14" spans="1:14" ht="23.75" customHeight="1" x14ac:dyDescent="0.2">
      <c r="A14" s="5" t="s">
        <v>17</v>
      </c>
      <c r="B14" s="6" t="s">
        <v>36</v>
      </c>
      <c r="C14" s="5" t="s">
        <v>19</v>
      </c>
      <c r="D14" s="7">
        <v>25.5</v>
      </c>
      <c r="E14" s="7">
        <v>50</v>
      </c>
      <c r="F14" s="7">
        <f t="shared" si="0"/>
        <v>24.5</v>
      </c>
      <c r="G14" s="8">
        <f t="shared" si="1"/>
        <v>0.49</v>
      </c>
      <c r="H14" s="9"/>
      <c r="I14" s="9"/>
      <c r="J14" s="9"/>
      <c r="K14" s="9"/>
      <c r="L14" s="5">
        <v>2</v>
      </c>
      <c r="M14" s="6"/>
      <c r="N14" s="10" t="s">
        <v>37</v>
      </c>
    </row>
    <row r="15" spans="1:14" ht="23.75" customHeight="1" x14ac:dyDescent="0.2">
      <c r="A15" s="11" t="s">
        <v>17</v>
      </c>
      <c r="B15" s="12" t="s">
        <v>38</v>
      </c>
      <c r="C15" s="11" t="s">
        <v>19</v>
      </c>
      <c r="D15" s="13">
        <v>25</v>
      </c>
      <c r="E15" s="13">
        <v>55</v>
      </c>
      <c r="F15" s="13">
        <f t="shared" si="0"/>
        <v>30</v>
      </c>
      <c r="G15" s="14">
        <f t="shared" si="1"/>
        <v>0.54545454545454541</v>
      </c>
      <c r="H15" s="9"/>
      <c r="I15" s="9"/>
      <c r="J15" s="9"/>
      <c r="K15" s="9"/>
      <c r="L15" s="11">
        <v>25</v>
      </c>
      <c r="M15" s="12"/>
      <c r="N15" s="16" t="s">
        <v>39</v>
      </c>
    </row>
    <row r="16" spans="1:14" ht="32.75" customHeight="1" x14ac:dyDescent="0.2">
      <c r="A16" s="5" t="s">
        <v>17</v>
      </c>
      <c r="B16" s="6" t="s">
        <v>40</v>
      </c>
      <c r="C16" s="5" t="s">
        <v>19</v>
      </c>
      <c r="D16" s="7">
        <v>127.5</v>
      </c>
      <c r="E16" s="7">
        <v>350</v>
      </c>
      <c r="F16" s="7">
        <f t="shared" si="0"/>
        <v>222.5</v>
      </c>
      <c r="G16" s="8">
        <f t="shared" si="1"/>
        <v>0.63571428571428568</v>
      </c>
      <c r="H16" s="9"/>
      <c r="I16" s="9"/>
      <c r="J16" s="9"/>
      <c r="K16" s="9"/>
      <c r="L16" s="5">
        <v>2</v>
      </c>
      <c r="M16" s="6"/>
      <c r="N16" s="10" t="s">
        <v>41</v>
      </c>
    </row>
    <row r="17" spans="1:14" ht="23.75" customHeight="1" x14ac:dyDescent="0.2">
      <c r="A17" s="11" t="s">
        <v>17</v>
      </c>
      <c r="B17" s="12" t="s">
        <v>42</v>
      </c>
      <c r="C17" s="11" t="s">
        <v>19</v>
      </c>
      <c r="D17" s="13">
        <v>104</v>
      </c>
      <c r="E17" s="13">
        <v>290</v>
      </c>
      <c r="F17" s="13">
        <f t="shared" si="0"/>
        <v>186</v>
      </c>
      <c r="G17" s="14">
        <f t="shared" si="1"/>
        <v>0.64137931034482754</v>
      </c>
      <c r="H17" s="9"/>
      <c r="I17" s="9"/>
      <c r="J17" s="9"/>
      <c r="K17" s="9"/>
      <c r="L17" s="11">
        <v>20</v>
      </c>
      <c r="M17" s="12"/>
      <c r="N17" s="16" t="s">
        <v>43</v>
      </c>
    </row>
    <row r="18" spans="1:14" ht="32.75" customHeight="1" x14ac:dyDescent="0.2">
      <c r="A18" s="5" t="s">
        <v>17</v>
      </c>
      <c r="B18" s="6" t="s">
        <v>44</v>
      </c>
      <c r="C18" s="5" t="s">
        <v>19</v>
      </c>
      <c r="D18" s="7">
        <v>145.5</v>
      </c>
      <c r="E18" s="7">
        <v>375</v>
      </c>
      <c r="F18" s="7">
        <f t="shared" si="0"/>
        <v>229.5</v>
      </c>
      <c r="G18" s="8">
        <f t="shared" si="1"/>
        <v>0.61199999999999999</v>
      </c>
      <c r="H18" s="9"/>
      <c r="I18" s="9"/>
      <c r="J18" s="9"/>
      <c r="K18" s="9"/>
      <c r="L18" s="5">
        <v>0</v>
      </c>
      <c r="M18" s="6"/>
      <c r="N18" s="10" t="s">
        <v>45</v>
      </c>
    </row>
    <row r="19" spans="1:14" ht="23.75" customHeight="1" x14ac:dyDescent="0.2">
      <c r="A19" s="11" t="s">
        <v>17</v>
      </c>
      <c r="B19" s="12" t="s">
        <v>46</v>
      </c>
      <c r="C19" s="11" t="s">
        <v>19</v>
      </c>
      <c r="D19" s="13">
        <v>120</v>
      </c>
      <c r="E19" s="13">
        <v>325</v>
      </c>
      <c r="F19" s="13">
        <f t="shared" si="0"/>
        <v>205</v>
      </c>
      <c r="G19" s="14">
        <f t="shared" si="1"/>
        <v>0.63076923076923075</v>
      </c>
      <c r="H19" s="9"/>
      <c r="I19" s="9"/>
      <c r="J19" s="9"/>
      <c r="K19" s="9"/>
      <c r="L19" s="11">
        <v>15</v>
      </c>
      <c r="M19" s="12"/>
      <c r="N19" s="16" t="s">
        <v>47</v>
      </c>
    </row>
    <row r="20" spans="1:14" ht="23.75" customHeight="1" x14ac:dyDescent="0.2">
      <c r="A20" s="5" t="s">
        <v>17</v>
      </c>
      <c r="B20" s="6" t="s">
        <v>48</v>
      </c>
      <c r="C20" s="5" t="s">
        <v>19</v>
      </c>
      <c r="D20" s="7">
        <v>89</v>
      </c>
      <c r="E20" s="7">
        <v>195</v>
      </c>
      <c r="F20" s="7">
        <f t="shared" si="0"/>
        <v>106</v>
      </c>
      <c r="G20" s="8">
        <f t="shared" si="1"/>
        <v>0.54358974358974355</v>
      </c>
      <c r="H20" s="17">
        <v>200</v>
      </c>
      <c r="I20" s="18">
        <f>H20-D20</f>
        <v>111</v>
      </c>
      <c r="J20" s="19">
        <f>IF(H20=0,"",((H20-D20)/H20))</f>
        <v>0.55500000000000005</v>
      </c>
      <c r="K20" s="19">
        <f>IF(E20=0,"",1-(H20/E20))</f>
        <v>-2.564102564102555E-2</v>
      </c>
      <c r="L20" s="5">
        <v>20</v>
      </c>
      <c r="M20" s="6"/>
      <c r="N20" s="10" t="s">
        <v>49</v>
      </c>
    </row>
    <row r="21" spans="1:14" ht="23.75" customHeight="1" x14ac:dyDescent="0.2">
      <c r="A21" s="11" t="s">
        <v>17</v>
      </c>
      <c r="B21" s="12" t="s">
        <v>50</v>
      </c>
      <c r="C21" s="11" t="s">
        <v>19</v>
      </c>
      <c r="D21" s="13">
        <v>101.5</v>
      </c>
      <c r="E21" s="13">
        <v>255</v>
      </c>
      <c r="F21" s="13">
        <f t="shared" si="0"/>
        <v>153.5</v>
      </c>
      <c r="G21" s="14">
        <f t="shared" si="1"/>
        <v>0.60196078431372546</v>
      </c>
      <c r="H21" s="9"/>
      <c r="I21" s="9"/>
      <c r="J21" s="9"/>
      <c r="K21" s="9"/>
      <c r="L21" s="11">
        <v>19</v>
      </c>
      <c r="M21" s="12"/>
      <c r="N21" s="16" t="s">
        <v>51</v>
      </c>
    </row>
    <row r="22" spans="1:14" ht="23.75" customHeight="1" x14ac:dyDescent="0.2">
      <c r="A22" s="5" t="s">
        <v>17</v>
      </c>
      <c r="B22" s="6" t="s">
        <v>52</v>
      </c>
      <c r="C22" s="5" t="s">
        <v>19</v>
      </c>
      <c r="D22" s="7">
        <v>125</v>
      </c>
      <c r="E22" s="7">
        <v>235</v>
      </c>
      <c r="F22" s="7">
        <f t="shared" si="0"/>
        <v>110</v>
      </c>
      <c r="G22" s="8">
        <f t="shared" si="1"/>
        <v>0.46808510638297873</v>
      </c>
      <c r="H22" s="9"/>
      <c r="I22" s="9"/>
      <c r="J22" s="9"/>
      <c r="K22" s="9"/>
      <c r="L22" s="5">
        <v>2</v>
      </c>
      <c r="M22" s="6"/>
      <c r="N22" s="10" t="s">
        <v>53</v>
      </c>
    </row>
    <row r="23" spans="1:14" ht="32.75" customHeight="1" x14ac:dyDescent="0.2">
      <c r="A23" s="11" t="s">
        <v>17</v>
      </c>
      <c r="B23" s="12" t="s">
        <v>54</v>
      </c>
      <c r="C23" s="11" t="s">
        <v>19</v>
      </c>
      <c r="D23" s="13">
        <v>113.5</v>
      </c>
      <c r="E23" s="13">
        <v>275</v>
      </c>
      <c r="F23" s="13">
        <f t="shared" si="0"/>
        <v>161.5</v>
      </c>
      <c r="G23" s="14">
        <f t="shared" si="1"/>
        <v>0.58727272727272728</v>
      </c>
      <c r="H23" s="9"/>
      <c r="I23" s="9"/>
      <c r="J23" s="9"/>
      <c r="K23" s="9"/>
      <c r="L23" s="20">
        <v>-12</v>
      </c>
      <c r="M23" s="21" t="s">
        <v>55</v>
      </c>
      <c r="N23" s="16" t="s">
        <v>56</v>
      </c>
    </row>
    <row r="24" spans="1:14" ht="23.75" customHeight="1" x14ac:dyDescent="0.2">
      <c r="A24" s="5" t="s">
        <v>17</v>
      </c>
      <c r="B24" s="6" t="s">
        <v>57</v>
      </c>
      <c r="C24" s="5" t="s">
        <v>19</v>
      </c>
      <c r="D24" s="7">
        <v>97</v>
      </c>
      <c r="E24" s="7">
        <v>225</v>
      </c>
      <c r="F24" s="7">
        <f t="shared" si="0"/>
        <v>128</v>
      </c>
      <c r="G24" s="8">
        <f t="shared" si="1"/>
        <v>0.56888888888888889</v>
      </c>
      <c r="H24" s="17">
        <v>205</v>
      </c>
      <c r="I24" s="18">
        <f>H24-D24</f>
        <v>108</v>
      </c>
      <c r="J24" s="19">
        <f>IF(H24=0,"",((H24-D24)/H24))</f>
        <v>0.52682926829268295</v>
      </c>
      <c r="K24" s="19">
        <f>IF(E24=0,"",1-(H24/E24))</f>
        <v>8.8888888888888906E-2</v>
      </c>
      <c r="L24" s="5">
        <v>28</v>
      </c>
      <c r="M24" s="6"/>
      <c r="N24" s="10" t="s">
        <v>58</v>
      </c>
    </row>
    <row r="25" spans="1:14" ht="32.75" customHeight="1" x14ac:dyDescent="0.2">
      <c r="A25" s="11" t="s">
        <v>17</v>
      </c>
      <c r="B25" s="12" t="s">
        <v>59</v>
      </c>
      <c r="C25" s="11" t="s">
        <v>19</v>
      </c>
      <c r="D25" s="13">
        <v>109.5</v>
      </c>
      <c r="E25" s="13">
        <v>215</v>
      </c>
      <c r="F25" s="13">
        <f t="shared" si="0"/>
        <v>105.5</v>
      </c>
      <c r="G25" s="14">
        <f t="shared" si="1"/>
        <v>0.49069767441860462</v>
      </c>
      <c r="H25" s="17">
        <v>215</v>
      </c>
      <c r="I25" s="18">
        <f>H25-D25</f>
        <v>105.5</v>
      </c>
      <c r="J25" s="19">
        <f>IF(H25=0,"",((H25-D25)/H25))</f>
        <v>0.49069767441860462</v>
      </c>
      <c r="K25" s="19">
        <f>IF(E25=0,"",1-(H25/E25))</f>
        <v>0</v>
      </c>
      <c r="L25" s="11">
        <v>0</v>
      </c>
      <c r="M25" s="12"/>
      <c r="N25" s="16" t="s">
        <v>60</v>
      </c>
    </row>
    <row r="26" spans="1:14" ht="32.75" customHeight="1" x14ac:dyDescent="0.2">
      <c r="A26" s="5" t="s">
        <v>17</v>
      </c>
      <c r="B26" s="6" t="s">
        <v>61</v>
      </c>
      <c r="C26" s="5" t="s">
        <v>19</v>
      </c>
      <c r="D26" s="7">
        <v>126.5</v>
      </c>
      <c r="E26" s="7">
        <v>305</v>
      </c>
      <c r="F26" s="7">
        <f t="shared" si="0"/>
        <v>178.5</v>
      </c>
      <c r="G26" s="8">
        <f t="shared" si="1"/>
        <v>0.58524590163934431</v>
      </c>
      <c r="H26" s="9"/>
      <c r="I26" s="9"/>
      <c r="J26" s="9"/>
      <c r="K26" s="9"/>
      <c r="L26" s="22">
        <v>-21</v>
      </c>
      <c r="M26" s="23" t="s">
        <v>55</v>
      </c>
      <c r="N26" s="10" t="s">
        <v>62</v>
      </c>
    </row>
    <row r="27" spans="1:14" ht="23.75" customHeight="1" x14ac:dyDescent="0.2">
      <c r="A27" s="11" t="s">
        <v>17</v>
      </c>
      <c r="B27" s="12" t="s">
        <v>63</v>
      </c>
      <c r="C27" s="11" t="s">
        <v>19</v>
      </c>
      <c r="D27" s="13">
        <v>112</v>
      </c>
      <c r="E27" s="13">
        <v>275</v>
      </c>
      <c r="F27" s="13">
        <f t="shared" si="0"/>
        <v>163</v>
      </c>
      <c r="G27" s="14">
        <f t="shared" si="1"/>
        <v>0.59272727272727277</v>
      </c>
      <c r="H27" s="17">
        <v>225</v>
      </c>
      <c r="I27" s="18">
        <f>H27-D27</f>
        <v>113</v>
      </c>
      <c r="J27" s="19">
        <f>IF(H27=0,"",((H27-D27)/H27))</f>
        <v>0.50222222222222224</v>
      </c>
      <c r="K27" s="19">
        <f>IF(E27=0,"",1-(H27/E27))</f>
        <v>0.18181818181818177</v>
      </c>
      <c r="L27" s="11">
        <v>91</v>
      </c>
      <c r="M27" s="12"/>
      <c r="N27" s="16" t="s">
        <v>64</v>
      </c>
    </row>
    <row r="28" spans="1:14" ht="23.75" customHeight="1" x14ac:dyDescent="0.2">
      <c r="A28" s="5" t="s">
        <v>17</v>
      </c>
      <c r="B28" s="6" t="s">
        <v>65</v>
      </c>
      <c r="C28" s="5" t="s">
        <v>19</v>
      </c>
      <c r="D28" s="7">
        <v>117.7</v>
      </c>
      <c r="E28" s="7">
        <v>275</v>
      </c>
      <c r="F28" s="7">
        <f t="shared" si="0"/>
        <v>157.30000000000001</v>
      </c>
      <c r="G28" s="8">
        <f t="shared" si="1"/>
        <v>0.57200000000000006</v>
      </c>
      <c r="H28" s="9"/>
      <c r="I28" s="9"/>
      <c r="J28" s="9"/>
      <c r="K28" s="9"/>
      <c r="L28" s="22">
        <v>-9</v>
      </c>
      <c r="M28" s="23" t="s">
        <v>55</v>
      </c>
      <c r="N28" s="10" t="s">
        <v>66</v>
      </c>
    </row>
    <row r="29" spans="1:14" ht="32.75" customHeight="1" x14ac:dyDescent="0.2">
      <c r="A29" s="11" t="s">
        <v>17</v>
      </c>
      <c r="B29" s="12" t="s">
        <v>67</v>
      </c>
      <c r="C29" s="11" t="s">
        <v>22</v>
      </c>
      <c r="D29" s="13">
        <v>0</v>
      </c>
      <c r="E29" s="15"/>
      <c r="F29" s="15"/>
      <c r="G29" s="15"/>
      <c r="H29" s="9"/>
      <c r="I29" s="9"/>
      <c r="J29" s="9"/>
      <c r="K29" s="9"/>
      <c r="L29" s="15"/>
      <c r="M29" s="12" t="s">
        <v>68</v>
      </c>
      <c r="N29" s="16" t="s">
        <v>69</v>
      </c>
    </row>
    <row r="30" spans="1:14" ht="32.75" customHeight="1" x14ac:dyDescent="0.2">
      <c r="A30" s="5" t="s">
        <v>17</v>
      </c>
      <c r="B30" s="6" t="s">
        <v>70</v>
      </c>
      <c r="C30" s="5" t="s">
        <v>22</v>
      </c>
      <c r="D30" s="7">
        <v>176.5</v>
      </c>
      <c r="E30" s="7">
        <v>950</v>
      </c>
      <c r="F30" s="7">
        <f>E30-D30</f>
        <v>773.5</v>
      </c>
      <c r="G30" s="8">
        <f>IF(E30=0,"",((E30-D30)/E30))</f>
        <v>0.8142105263157895</v>
      </c>
      <c r="H30" s="9"/>
      <c r="I30" s="9"/>
      <c r="J30" s="9"/>
      <c r="K30" s="9"/>
      <c r="L30" s="24"/>
      <c r="M30" s="6"/>
      <c r="N30" s="10" t="s">
        <v>71</v>
      </c>
    </row>
    <row r="31" spans="1:14" ht="32.75" customHeight="1" x14ac:dyDescent="0.2">
      <c r="A31" s="11" t="s">
        <v>17</v>
      </c>
      <c r="B31" s="12" t="s">
        <v>72</v>
      </c>
      <c r="C31" s="11" t="s">
        <v>19</v>
      </c>
      <c r="D31" s="13">
        <v>89</v>
      </c>
      <c r="E31" s="13">
        <v>250</v>
      </c>
      <c r="F31" s="13">
        <f>E31-D31</f>
        <v>161</v>
      </c>
      <c r="G31" s="14">
        <f>IF(E31=0,"",((E31-D31)/E31))</f>
        <v>0.64400000000000002</v>
      </c>
      <c r="H31" s="9"/>
      <c r="I31" s="9"/>
      <c r="J31" s="9"/>
      <c r="K31" s="9"/>
      <c r="L31" s="11">
        <v>4</v>
      </c>
      <c r="M31" s="12"/>
      <c r="N31" s="16" t="s">
        <v>73</v>
      </c>
    </row>
    <row r="32" spans="1:14" ht="32.75" customHeight="1" x14ac:dyDescent="0.2">
      <c r="A32" s="5" t="s">
        <v>17</v>
      </c>
      <c r="B32" s="6" t="s">
        <v>74</v>
      </c>
      <c r="C32" s="5" t="s">
        <v>22</v>
      </c>
      <c r="D32" s="7">
        <v>108</v>
      </c>
      <c r="E32" s="7">
        <v>245</v>
      </c>
      <c r="F32" s="7">
        <f>E32-D32</f>
        <v>137</v>
      </c>
      <c r="G32" s="8">
        <f>IF(E32=0,"",((E32-D32)/E32))</f>
        <v>0.5591836734693878</v>
      </c>
      <c r="H32" s="17">
        <v>215</v>
      </c>
      <c r="I32" s="18">
        <f>H32-D32</f>
        <v>107</v>
      </c>
      <c r="J32" s="19">
        <f>IF(H32=0,"",((H32-D32)/H32))</f>
        <v>0.49767441860465117</v>
      </c>
      <c r="K32" s="19">
        <f>IF(E32=0,"",1-(H32/E32))</f>
        <v>0.12244897959183676</v>
      </c>
      <c r="L32" s="24"/>
      <c r="M32" s="23" t="s">
        <v>75</v>
      </c>
      <c r="N32" s="10" t="s">
        <v>76</v>
      </c>
    </row>
    <row r="33" spans="1:14" ht="32.75" customHeight="1" x14ac:dyDescent="0.2">
      <c r="A33" s="11" t="s">
        <v>17</v>
      </c>
      <c r="B33" s="12" t="s">
        <v>77</v>
      </c>
      <c r="C33" s="11" t="s">
        <v>19</v>
      </c>
      <c r="D33" s="15"/>
      <c r="E33" s="13">
        <v>230</v>
      </c>
      <c r="F33" s="15"/>
      <c r="G33" s="15"/>
      <c r="H33" s="9"/>
      <c r="I33" s="9"/>
      <c r="J33" s="9"/>
      <c r="K33" s="9"/>
      <c r="L33" s="11">
        <v>1</v>
      </c>
      <c r="M33" s="21" t="s">
        <v>78</v>
      </c>
      <c r="N33" s="16" t="s">
        <v>79</v>
      </c>
    </row>
    <row r="34" spans="1:14" ht="32.75" customHeight="1" x14ac:dyDescent="0.2">
      <c r="A34" s="5" t="s">
        <v>17</v>
      </c>
      <c r="B34" s="6" t="s">
        <v>80</v>
      </c>
      <c r="C34" s="5" t="s">
        <v>19</v>
      </c>
      <c r="D34" s="7">
        <v>176.5</v>
      </c>
      <c r="E34" s="7">
        <v>875</v>
      </c>
      <c r="F34" s="7">
        <f t="shared" ref="F34:F46" si="2">E34-D34</f>
        <v>698.5</v>
      </c>
      <c r="G34" s="8">
        <f t="shared" ref="G34:G46" si="3">IF(E34=0,"",((E34-D34)/E34))</f>
        <v>0.79828571428571427</v>
      </c>
      <c r="H34" s="9"/>
      <c r="I34" s="9"/>
      <c r="J34" s="9"/>
      <c r="K34" s="9"/>
      <c r="L34" s="5">
        <v>6</v>
      </c>
      <c r="M34" s="23" t="s">
        <v>75</v>
      </c>
      <c r="N34" s="10" t="s">
        <v>81</v>
      </c>
    </row>
    <row r="35" spans="1:14" ht="23.75" customHeight="1" x14ac:dyDescent="0.2">
      <c r="A35" s="11" t="s">
        <v>17</v>
      </c>
      <c r="B35" s="12" t="s">
        <v>82</v>
      </c>
      <c r="C35" s="11" t="s">
        <v>19</v>
      </c>
      <c r="D35" s="13">
        <v>216.5</v>
      </c>
      <c r="E35" s="13">
        <v>915</v>
      </c>
      <c r="F35" s="13">
        <f t="shared" si="2"/>
        <v>698.5</v>
      </c>
      <c r="G35" s="14">
        <f t="shared" si="3"/>
        <v>0.76338797814207648</v>
      </c>
      <c r="H35" s="9"/>
      <c r="I35" s="9"/>
      <c r="J35" s="9"/>
      <c r="K35" s="9"/>
      <c r="L35" s="11">
        <v>2</v>
      </c>
      <c r="M35" s="21" t="s">
        <v>75</v>
      </c>
      <c r="N35" s="16" t="s">
        <v>83</v>
      </c>
    </row>
    <row r="36" spans="1:14" ht="22.25" customHeight="1" x14ac:dyDescent="0.2">
      <c r="A36" s="5" t="s">
        <v>17</v>
      </c>
      <c r="B36" s="6" t="s">
        <v>84</v>
      </c>
      <c r="C36" s="5" t="s">
        <v>19</v>
      </c>
      <c r="D36" s="7">
        <v>195.5</v>
      </c>
      <c r="E36" s="7">
        <v>1075</v>
      </c>
      <c r="F36" s="7">
        <f t="shared" si="2"/>
        <v>879.5</v>
      </c>
      <c r="G36" s="8">
        <f t="shared" si="3"/>
        <v>0.81813953488372093</v>
      </c>
      <c r="H36" s="9"/>
      <c r="I36" s="9"/>
      <c r="J36" s="9"/>
      <c r="K36" s="9"/>
      <c r="L36" s="5">
        <v>0</v>
      </c>
      <c r="M36" s="6"/>
      <c r="N36" s="10" t="s">
        <v>85</v>
      </c>
    </row>
    <row r="37" spans="1:14" ht="22.25" customHeight="1" x14ac:dyDescent="0.2">
      <c r="A37" s="11" t="s">
        <v>17</v>
      </c>
      <c r="B37" s="12" t="s">
        <v>86</v>
      </c>
      <c r="C37" s="11" t="s">
        <v>19</v>
      </c>
      <c r="D37" s="13">
        <v>62.95</v>
      </c>
      <c r="E37" s="13">
        <v>135</v>
      </c>
      <c r="F37" s="13">
        <f t="shared" si="2"/>
        <v>72.05</v>
      </c>
      <c r="G37" s="14">
        <f t="shared" si="3"/>
        <v>0.53370370370370368</v>
      </c>
      <c r="H37" s="9"/>
      <c r="I37" s="9"/>
      <c r="J37" s="9"/>
      <c r="K37" s="9"/>
      <c r="L37" s="11">
        <v>0</v>
      </c>
      <c r="M37" s="12"/>
      <c r="N37" s="16" t="s">
        <v>87</v>
      </c>
    </row>
    <row r="38" spans="1:14" ht="32.75" customHeight="1" x14ac:dyDescent="0.2">
      <c r="A38" s="5" t="s">
        <v>17</v>
      </c>
      <c r="B38" s="6" t="s">
        <v>88</v>
      </c>
      <c r="C38" s="5" t="s">
        <v>19</v>
      </c>
      <c r="D38" s="7">
        <v>108</v>
      </c>
      <c r="E38" s="7">
        <v>185</v>
      </c>
      <c r="F38" s="7">
        <f t="shared" si="2"/>
        <v>77</v>
      </c>
      <c r="G38" s="8">
        <f t="shared" si="3"/>
        <v>0.41621621621621624</v>
      </c>
      <c r="H38" s="9"/>
      <c r="I38" s="9"/>
      <c r="J38" s="9"/>
      <c r="K38" s="9"/>
      <c r="L38" s="5">
        <v>0</v>
      </c>
      <c r="M38" s="6"/>
      <c r="N38" s="10" t="s">
        <v>89</v>
      </c>
    </row>
    <row r="39" spans="1:14" ht="32.75" customHeight="1" x14ac:dyDescent="0.2">
      <c r="A39" s="11" t="s">
        <v>17</v>
      </c>
      <c r="B39" s="12" t="s">
        <v>90</v>
      </c>
      <c r="C39" s="11" t="s">
        <v>19</v>
      </c>
      <c r="D39" s="13">
        <v>108</v>
      </c>
      <c r="E39" s="13">
        <v>185</v>
      </c>
      <c r="F39" s="13">
        <f t="shared" si="2"/>
        <v>77</v>
      </c>
      <c r="G39" s="14">
        <f t="shared" si="3"/>
        <v>0.41621621621621624</v>
      </c>
      <c r="H39" s="9"/>
      <c r="I39" s="9"/>
      <c r="J39" s="9"/>
      <c r="K39" s="9"/>
      <c r="L39" s="11">
        <v>0</v>
      </c>
      <c r="M39" s="12"/>
      <c r="N39" s="16" t="s">
        <v>91</v>
      </c>
    </row>
    <row r="40" spans="1:14" ht="22.25" customHeight="1" x14ac:dyDescent="0.2">
      <c r="A40" s="5" t="s">
        <v>17</v>
      </c>
      <c r="B40" s="6" t="s">
        <v>92</v>
      </c>
      <c r="C40" s="5" t="s">
        <v>19</v>
      </c>
      <c r="D40" s="7">
        <v>73.45</v>
      </c>
      <c r="E40" s="7">
        <v>150</v>
      </c>
      <c r="F40" s="7">
        <f t="shared" si="2"/>
        <v>76.55</v>
      </c>
      <c r="G40" s="8">
        <f t="shared" si="3"/>
        <v>0.51033333333333331</v>
      </c>
      <c r="H40" s="9"/>
      <c r="I40" s="9"/>
      <c r="J40" s="9"/>
      <c r="K40" s="9"/>
      <c r="L40" s="5">
        <v>1</v>
      </c>
      <c r="M40" s="6"/>
      <c r="N40" s="10" t="s">
        <v>93</v>
      </c>
    </row>
    <row r="41" spans="1:14" ht="22.25" customHeight="1" x14ac:dyDescent="0.2">
      <c r="A41" s="11" t="s">
        <v>17</v>
      </c>
      <c r="B41" s="12" t="s">
        <v>94</v>
      </c>
      <c r="C41" s="11" t="s">
        <v>22</v>
      </c>
      <c r="D41" s="13">
        <v>68.95</v>
      </c>
      <c r="E41" s="13">
        <v>89.75</v>
      </c>
      <c r="F41" s="13">
        <f t="shared" si="2"/>
        <v>20.799999999999997</v>
      </c>
      <c r="G41" s="14">
        <f t="shared" si="3"/>
        <v>0.23175487465181055</v>
      </c>
      <c r="H41" s="9"/>
      <c r="I41" s="9"/>
      <c r="J41" s="9"/>
      <c r="K41" s="9"/>
      <c r="L41" s="15"/>
      <c r="M41" s="12" t="s">
        <v>95</v>
      </c>
      <c r="N41" s="16" t="s">
        <v>96</v>
      </c>
    </row>
    <row r="42" spans="1:14" ht="22.25" customHeight="1" x14ac:dyDescent="0.2">
      <c r="A42" s="5" t="s">
        <v>17</v>
      </c>
      <c r="B42" s="6" t="s">
        <v>97</v>
      </c>
      <c r="C42" s="5" t="s">
        <v>19</v>
      </c>
      <c r="D42" s="7">
        <v>121.5</v>
      </c>
      <c r="E42" s="7">
        <v>185</v>
      </c>
      <c r="F42" s="7">
        <f t="shared" si="2"/>
        <v>63.5</v>
      </c>
      <c r="G42" s="8">
        <f t="shared" si="3"/>
        <v>0.34324324324324323</v>
      </c>
      <c r="H42" s="9"/>
      <c r="I42" s="9"/>
      <c r="J42" s="9"/>
      <c r="K42" s="9"/>
      <c r="L42" s="22">
        <v>-1</v>
      </c>
      <c r="M42" s="23" t="s">
        <v>55</v>
      </c>
      <c r="N42" s="10" t="s">
        <v>98</v>
      </c>
    </row>
    <row r="43" spans="1:14" ht="22.25" customHeight="1" x14ac:dyDescent="0.2">
      <c r="A43" s="11" t="s">
        <v>17</v>
      </c>
      <c r="B43" s="12" t="s">
        <v>99</v>
      </c>
      <c r="C43" s="11" t="s">
        <v>22</v>
      </c>
      <c r="D43" s="13">
        <v>1380</v>
      </c>
      <c r="E43" s="13">
        <v>2000</v>
      </c>
      <c r="F43" s="13">
        <f t="shared" si="2"/>
        <v>620</v>
      </c>
      <c r="G43" s="14">
        <f t="shared" si="3"/>
        <v>0.31</v>
      </c>
      <c r="H43" s="9"/>
      <c r="I43" s="9"/>
      <c r="J43" s="9"/>
      <c r="K43" s="9"/>
      <c r="L43" s="15"/>
      <c r="M43" s="12"/>
      <c r="N43" s="16" t="s">
        <v>100</v>
      </c>
    </row>
    <row r="44" spans="1:14" ht="22.25" customHeight="1" x14ac:dyDescent="0.2">
      <c r="A44" s="5" t="s">
        <v>17</v>
      </c>
      <c r="B44" s="6" t="s">
        <v>101</v>
      </c>
      <c r="C44" s="5" t="s">
        <v>22</v>
      </c>
      <c r="D44" s="7">
        <v>304</v>
      </c>
      <c r="E44" s="7">
        <v>515</v>
      </c>
      <c r="F44" s="7">
        <f t="shared" si="2"/>
        <v>211</v>
      </c>
      <c r="G44" s="8">
        <f t="shared" si="3"/>
        <v>0.40970873786407769</v>
      </c>
      <c r="H44" s="9"/>
      <c r="I44" s="9"/>
      <c r="J44" s="9"/>
      <c r="K44" s="9"/>
      <c r="L44" s="24"/>
      <c r="M44" s="6"/>
      <c r="N44" s="10" t="s">
        <v>102</v>
      </c>
    </row>
    <row r="45" spans="1:14" ht="23.75" customHeight="1" x14ac:dyDescent="0.2">
      <c r="A45" s="11" t="s">
        <v>17</v>
      </c>
      <c r="B45" s="12" t="s">
        <v>103</v>
      </c>
      <c r="C45" s="11" t="s">
        <v>22</v>
      </c>
      <c r="D45" s="13">
        <v>106.7</v>
      </c>
      <c r="E45" s="13">
        <v>270</v>
      </c>
      <c r="F45" s="13">
        <f t="shared" si="2"/>
        <v>163.30000000000001</v>
      </c>
      <c r="G45" s="14">
        <f t="shared" si="3"/>
        <v>0.60481481481481481</v>
      </c>
      <c r="H45" s="9"/>
      <c r="I45" s="9"/>
      <c r="J45" s="9"/>
      <c r="K45" s="9"/>
      <c r="L45" s="15"/>
      <c r="M45" s="12"/>
      <c r="N45" s="16" t="s">
        <v>104</v>
      </c>
    </row>
    <row r="46" spans="1:14" ht="23.75" customHeight="1" x14ac:dyDescent="0.2">
      <c r="A46" s="5" t="s">
        <v>17</v>
      </c>
      <c r="B46" s="6" t="s">
        <v>105</v>
      </c>
      <c r="C46" s="5" t="s">
        <v>22</v>
      </c>
      <c r="D46" s="7">
        <v>123.2</v>
      </c>
      <c r="E46" s="7">
        <v>310</v>
      </c>
      <c r="F46" s="7">
        <f t="shared" si="2"/>
        <v>186.8</v>
      </c>
      <c r="G46" s="8">
        <f t="shared" si="3"/>
        <v>0.6025806451612904</v>
      </c>
      <c r="H46" s="9"/>
      <c r="I46" s="9"/>
      <c r="J46" s="9"/>
      <c r="K46" s="9"/>
      <c r="L46" s="24"/>
      <c r="M46" s="6"/>
      <c r="N46" s="10" t="s">
        <v>106</v>
      </c>
    </row>
    <row r="47" spans="1:14" ht="24" customHeight="1" x14ac:dyDescent="0.2">
      <c r="A47" s="26" t="s">
        <v>107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8"/>
    </row>
    <row r="48" spans="1:14" ht="23.75" customHeight="1" x14ac:dyDescent="0.2">
      <c r="A48" s="5" t="s">
        <v>108</v>
      </c>
      <c r="B48" s="6" t="s">
        <v>109</v>
      </c>
      <c r="C48" s="5" t="s">
        <v>22</v>
      </c>
      <c r="D48" s="7">
        <v>1141</v>
      </c>
      <c r="E48" s="7">
        <v>1521.33</v>
      </c>
      <c r="F48" s="7">
        <f t="shared" ref="F48:F76" si="4">E48-D48</f>
        <v>380.32999999999993</v>
      </c>
      <c r="G48" s="8">
        <f t="shared" ref="G48:G76" si="5">IF(E48=0,"",((E48-D48)/E48))</f>
        <v>0.24999835670104445</v>
      </c>
      <c r="H48" s="9"/>
      <c r="I48" s="9"/>
      <c r="J48" s="9"/>
      <c r="K48" s="9"/>
      <c r="L48" s="24"/>
      <c r="M48" s="6" t="s">
        <v>95</v>
      </c>
      <c r="N48" s="10" t="s">
        <v>110</v>
      </c>
    </row>
    <row r="49" spans="1:14" ht="23.75" customHeight="1" x14ac:dyDescent="0.2">
      <c r="A49" s="11" t="s">
        <v>108</v>
      </c>
      <c r="B49" s="12" t="s">
        <v>111</v>
      </c>
      <c r="C49" s="11" t="s">
        <v>22</v>
      </c>
      <c r="D49" s="13">
        <v>308</v>
      </c>
      <c r="E49" s="13">
        <v>475.27</v>
      </c>
      <c r="F49" s="13">
        <f t="shared" si="4"/>
        <v>167.26999999999998</v>
      </c>
      <c r="G49" s="14">
        <f t="shared" si="5"/>
        <v>0.35194731415826791</v>
      </c>
      <c r="H49" s="9"/>
      <c r="I49" s="9"/>
      <c r="J49" s="9"/>
      <c r="K49" s="9"/>
      <c r="L49" s="15"/>
      <c r="M49" s="12"/>
      <c r="N49" s="16" t="s">
        <v>112</v>
      </c>
    </row>
    <row r="50" spans="1:14" ht="23.75" customHeight="1" x14ac:dyDescent="0.2">
      <c r="A50" s="5" t="s">
        <v>108</v>
      </c>
      <c r="B50" s="6" t="s">
        <v>113</v>
      </c>
      <c r="C50" s="5" t="s">
        <v>22</v>
      </c>
      <c r="D50" s="7">
        <v>1716</v>
      </c>
      <c r="E50" s="7">
        <v>2288</v>
      </c>
      <c r="F50" s="7">
        <f t="shared" si="4"/>
        <v>572</v>
      </c>
      <c r="G50" s="8">
        <f t="shared" si="5"/>
        <v>0.25</v>
      </c>
      <c r="H50" s="9"/>
      <c r="I50" s="9"/>
      <c r="J50" s="9"/>
      <c r="K50" s="9"/>
      <c r="L50" s="24"/>
      <c r="M50" s="6" t="s">
        <v>95</v>
      </c>
      <c r="N50" s="10" t="s">
        <v>114</v>
      </c>
    </row>
    <row r="51" spans="1:14" ht="23.75" customHeight="1" x14ac:dyDescent="0.2">
      <c r="A51" s="11" t="s">
        <v>108</v>
      </c>
      <c r="B51" s="12" t="s">
        <v>115</v>
      </c>
      <c r="C51" s="11" t="s">
        <v>22</v>
      </c>
      <c r="D51" s="13">
        <v>350</v>
      </c>
      <c r="E51" s="13">
        <v>635</v>
      </c>
      <c r="F51" s="13">
        <f t="shared" si="4"/>
        <v>285</v>
      </c>
      <c r="G51" s="14">
        <f t="shared" si="5"/>
        <v>0.44881889763779526</v>
      </c>
      <c r="H51" s="9"/>
      <c r="I51" s="9"/>
      <c r="J51" s="9"/>
      <c r="K51" s="9"/>
      <c r="L51" s="15"/>
      <c r="M51" s="12"/>
      <c r="N51" s="16" t="s">
        <v>116</v>
      </c>
    </row>
    <row r="52" spans="1:14" ht="23.75" customHeight="1" x14ac:dyDescent="0.2">
      <c r="A52" s="5" t="s">
        <v>108</v>
      </c>
      <c r="B52" s="6" t="s">
        <v>117</v>
      </c>
      <c r="C52" s="5" t="s">
        <v>22</v>
      </c>
      <c r="D52" s="7">
        <v>950</v>
      </c>
      <c r="E52" s="7">
        <v>1266.67</v>
      </c>
      <c r="F52" s="7">
        <f t="shared" si="4"/>
        <v>316.67000000000007</v>
      </c>
      <c r="G52" s="8">
        <f t="shared" si="5"/>
        <v>0.25000197367901666</v>
      </c>
      <c r="H52" s="9"/>
      <c r="I52" s="9"/>
      <c r="J52" s="9"/>
      <c r="K52" s="9"/>
      <c r="L52" s="24"/>
      <c r="M52" s="6" t="s">
        <v>95</v>
      </c>
      <c r="N52" s="10" t="s">
        <v>118</v>
      </c>
    </row>
    <row r="53" spans="1:14" ht="22.25" customHeight="1" x14ac:dyDescent="0.2">
      <c r="A53" s="11" t="s">
        <v>108</v>
      </c>
      <c r="B53" s="12" t="s">
        <v>119</v>
      </c>
      <c r="C53" s="11" t="s">
        <v>22</v>
      </c>
      <c r="D53" s="13">
        <v>87.6</v>
      </c>
      <c r="E53" s="13">
        <v>122.5</v>
      </c>
      <c r="F53" s="13">
        <f t="shared" si="4"/>
        <v>34.900000000000006</v>
      </c>
      <c r="G53" s="14">
        <f t="shared" si="5"/>
        <v>0.2848979591836735</v>
      </c>
      <c r="H53" s="9"/>
      <c r="I53" s="9"/>
      <c r="J53" s="9"/>
      <c r="K53" s="9"/>
      <c r="L53" s="15"/>
      <c r="M53" s="12" t="s">
        <v>95</v>
      </c>
      <c r="N53" s="16" t="s">
        <v>120</v>
      </c>
    </row>
    <row r="54" spans="1:14" ht="23.75" customHeight="1" x14ac:dyDescent="0.2">
      <c r="A54" s="5" t="s">
        <v>108</v>
      </c>
      <c r="B54" s="6" t="s">
        <v>121</v>
      </c>
      <c r="C54" s="5" t="s">
        <v>22</v>
      </c>
      <c r="D54" s="7">
        <v>247.72</v>
      </c>
      <c r="E54" s="7">
        <v>385</v>
      </c>
      <c r="F54" s="7">
        <f t="shared" si="4"/>
        <v>137.28</v>
      </c>
      <c r="G54" s="8">
        <f t="shared" si="5"/>
        <v>0.35657142857142859</v>
      </c>
      <c r="H54" s="9"/>
      <c r="I54" s="9"/>
      <c r="J54" s="9"/>
      <c r="K54" s="9"/>
      <c r="L54" s="24"/>
      <c r="M54" s="6"/>
      <c r="N54" s="10" t="s">
        <v>122</v>
      </c>
    </row>
    <row r="55" spans="1:14" ht="23.75" customHeight="1" x14ac:dyDescent="0.2">
      <c r="A55" s="11" t="s">
        <v>108</v>
      </c>
      <c r="B55" s="12" t="s">
        <v>123</v>
      </c>
      <c r="C55" s="11" t="s">
        <v>22</v>
      </c>
      <c r="D55" s="13">
        <v>314.41000000000003</v>
      </c>
      <c r="E55" s="13">
        <v>525</v>
      </c>
      <c r="F55" s="13">
        <f t="shared" si="4"/>
        <v>210.58999999999997</v>
      </c>
      <c r="G55" s="14">
        <f t="shared" si="5"/>
        <v>0.40112380952380949</v>
      </c>
      <c r="H55" s="9"/>
      <c r="I55" s="9"/>
      <c r="J55" s="9"/>
      <c r="K55" s="9"/>
      <c r="L55" s="15"/>
      <c r="M55" s="12"/>
      <c r="N55" s="16" t="s">
        <v>124</v>
      </c>
    </row>
    <row r="56" spans="1:14" ht="23.75" customHeight="1" x14ac:dyDescent="0.2">
      <c r="A56" s="5" t="s">
        <v>108</v>
      </c>
      <c r="B56" s="6" t="s">
        <v>125</v>
      </c>
      <c r="C56" s="5" t="s">
        <v>22</v>
      </c>
      <c r="D56" s="7">
        <v>77.760000000000005</v>
      </c>
      <c r="E56" s="7">
        <v>103.67</v>
      </c>
      <c r="F56" s="7">
        <f t="shared" si="4"/>
        <v>25.909999999999997</v>
      </c>
      <c r="G56" s="8">
        <f t="shared" si="5"/>
        <v>0.24992765505932282</v>
      </c>
      <c r="H56" s="9"/>
      <c r="I56" s="9"/>
      <c r="J56" s="9"/>
      <c r="K56" s="9"/>
      <c r="L56" s="24"/>
      <c r="M56" s="6" t="s">
        <v>95</v>
      </c>
      <c r="N56" s="10" t="s">
        <v>126</v>
      </c>
    </row>
    <row r="57" spans="1:14" ht="23.75" customHeight="1" x14ac:dyDescent="0.2">
      <c r="A57" s="11" t="s">
        <v>108</v>
      </c>
      <c r="B57" s="12" t="s">
        <v>127</v>
      </c>
      <c r="C57" s="11" t="s">
        <v>22</v>
      </c>
      <c r="D57" s="13">
        <v>107.26</v>
      </c>
      <c r="E57" s="13">
        <v>143.01</v>
      </c>
      <c r="F57" s="13">
        <f t="shared" si="4"/>
        <v>35.749999999999986</v>
      </c>
      <c r="G57" s="14">
        <f t="shared" si="5"/>
        <v>0.24998251870498558</v>
      </c>
      <c r="H57" s="9"/>
      <c r="I57" s="9"/>
      <c r="J57" s="9"/>
      <c r="K57" s="9"/>
      <c r="L57" s="15"/>
      <c r="M57" s="12" t="s">
        <v>95</v>
      </c>
      <c r="N57" s="16" t="s">
        <v>128</v>
      </c>
    </row>
    <row r="58" spans="1:14" ht="23.75" customHeight="1" x14ac:dyDescent="0.2">
      <c r="A58" s="5" t="s">
        <v>108</v>
      </c>
      <c r="B58" s="6" t="s">
        <v>129</v>
      </c>
      <c r="C58" s="5" t="s">
        <v>22</v>
      </c>
      <c r="D58" s="7">
        <v>232.08</v>
      </c>
      <c r="E58" s="7">
        <v>309.45</v>
      </c>
      <c r="F58" s="7">
        <f t="shared" si="4"/>
        <v>77.369999999999976</v>
      </c>
      <c r="G58" s="8">
        <f t="shared" si="5"/>
        <v>0.25002423654871542</v>
      </c>
      <c r="H58" s="9"/>
      <c r="I58" s="9"/>
      <c r="J58" s="9"/>
      <c r="K58" s="9"/>
      <c r="L58" s="24"/>
      <c r="M58" s="6" t="s">
        <v>95</v>
      </c>
      <c r="N58" s="10" t="s">
        <v>130</v>
      </c>
    </row>
    <row r="59" spans="1:14" ht="23.75" customHeight="1" x14ac:dyDescent="0.2">
      <c r="A59" s="11" t="s">
        <v>108</v>
      </c>
      <c r="B59" s="12" t="s">
        <v>131</v>
      </c>
      <c r="C59" s="11" t="s">
        <v>22</v>
      </c>
      <c r="D59" s="13">
        <v>21.03</v>
      </c>
      <c r="E59" s="13">
        <v>28.04</v>
      </c>
      <c r="F59" s="13">
        <f t="shared" si="4"/>
        <v>7.009999999999998</v>
      </c>
      <c r="G59" s="14">
        <f t="shared" si="5"/>
        <v>0.24999999999999994</v>
      </c>
      <c r="H59" s="9"/>
      <c r="I59" s="9"/>
      <c r="J59" s="9"/>
      <c r="K59" s="9"/>
      <c r="L59" s="15"/>
      <c r="M59" s="12" t="s">
        <v>95</v>
      </c>
      <c r="N59" s="16" t="s">
        <v>132</v>
      </c>
    </row>
    <row r="60" spans="1:14" ht="23.75" customHeight="1" x14ac:dyDescent="0.2">
      <c r="A60" s="5" t="s">
        <v>108</v>
      </c>
      <c r="B60" s="6" t="s">
        <v>133</v>
      </c>
      <c r="C60" s="5" t="s">
        <v>22</v>
      </c>
      <c r="D60" s="7">
        <v>185</v>
      </c>
      <c r="E60" s="7">
        <v>246.67</v>
      </c>
      <c r="F60" s="7">
        <f t="shared" si="4"/>
        <v>61.669999999999987</v>
      </c>
      <c r="G60" s="8">
        <f t="shared" si="5"/>
        <v>0.25001013499817565</v>
      </c>
      <c r="H60" s="9"/>
      <c r="I60" s="9"/>
      <c r="J60" s="9"/>
      <c r="K60" s="9"/>
      <c r="L60" s="24"/>
      <c r="M60" s="6" t="s">
        <v>95</v>
      </c>
      <c r="N60" s="10" t="s">
        <v>134</v>
      </c>
    </row>
    <row r="61" spans="1:14" ht="35" customHeight="1" x14ac:dyDescent="0.2">
      <c r="A61" s="11" t="s">
        <v>108</v>
      </c>
      <c r="B61" s="12" t="s">
        <v>135</v>
      </c>
      <c r="C61" s="11" t="s">
        <v>22</v>
      </c>
      <c r="D61" s="13">
        <v>120</v>
      </c>
      <c r="E61" s="13">
        <v>300</v>
      </c>
      <c r="F61" s="13">
        <f t="shared" si="4"/>
        <v>180</v>
      </c>
      <c r="G61" s="14">
        <f t="shared" si="5"/>
        <v>0.6</v>
      </c>
      <c r="H61" s="9"/>
      <c r="I61" s="9"/>
      <c r="J61" s="9"/>
      <c r="K61" s="9"/>
      <c r="L61" s="15"/>
      <c r="M61" s="12"/>
      <c r="N61" s="16" t="s">
        <v>136</v>
      </c>
    </row>
    <row r="62" spans="1:14" ht="23.75" customHeight="1" x14ac:dyDescent="0.2">
      <c r="A62" s="5" t="s">
        <v>108</v>
      </c>
      <c r="B62" s="6" t="s">
        <v>137</v>
      </c>
      <c r="C62" s="5" t="s">
        <v>22</v>
      </c>
      <c r="D62" s="7">
        <v>96</v>
      </c>
      <c r="E62" s="7">
        <v>230</v>
      </c>
      <c r="F62" s="7">
        <f t="shared" si="4"/>
        <v>134</v>
      </c>
      <c r="G62" s="8">
        <f t="shared" si="5"/>
        <v>0.58260869565217388</v>
      </c>
      <c r="H62" s="9"/>
      <c r="I62" s="9"/>
      <c r="J62" s="9"/>
      <c r="K62" s="9"/>
      <c r="L62" s="24"/>
      <c r="M62" s="6"/>
      <c r="N62" s="10" t="s">
        <v>138</v>
      </c>
    </row>
    <row r="63" spans="1:14" ht="35" customHeight="1" x14ac:dyDescent="0.2">
      <c r="A63" s="11" t="s">
        <v>108</v>
      </c>
      <c r="B63" s="12" t="s">
        <v>139</v>
      </c>
      <c r="C63" s="11" t="s">
        <v>22</v>
      </c>
      <c r="D63" s="13">
        <v>104</v>
      </c>
      <c r="E63" s="13">
        <v>260</v>
      </c>
      <c r="F63" s="13">
        <f t="shared" si="4"/>
        <v>156</v>
      </c>
      <c r="G63" s="14">
        <f t="shared" si="5"/>
        <v>0.6</v>
      </c>
      <c r="H63" s="9"/>
      <c r="I63" s="9"/>
      <c r="J63" s="9"/>
      <c r="K63" s="9"/>
      <c r="L63" s="15"/>
      <c r="M63" s="12"/>
      <c r="N63" s="16" t="s">
        <v>140</v>
      </c>
    </row>
    <row r="64" spans="1:14" ht="23.75" customHeight="1" x14ac:dyDescent="0.2">
      <c r="A64" s="5" t="s">
        <v>108</v>
      </c>
      <c r="B64" s="6" t="s">
        <v>141</v>
      </c>
      <c r="C64" s="5" t="s">
        <v>22</v>
      </c>
      <c r="D64" s="7">
        <v>85</v>
      </c>
      <c r="E64" s="7">
        <v>150</v>
      </c>
      <c r="F64" s="7">
        <f t="shared" si="4"/>
        <v>65</v>
      </c>
      <c r="G64" s="8">
        <f t="shared" si="5"/>
        <v>0.43333333333333335</v>
      </c>
      <c r="H64" s="9"/>
      <c r="I64" s="9"/>
      <c r="J64" s="9"/>
      <c r="K64" s="9"/>
      <c r="L64" s="24"/>
      <c r="M64" s="6"/>
      <c r="N64" s="10" t="s">
        <v>142</v>
      </c>
    </row>
    <row r="65" spans="1:14" ht="23.75" customHeight="1" x14ac:dyDescent="0.2">
      <c r="A65" s="11" t="s">
        <v>108</v>
      </c>
      <c r="B65" s="12" t="s">
        <v>143</v>
      </c>
      <c r="C65" s="11" t="s">
        <v>22</v>
      </c>
      <c r="D65" s="13">
        <v>170</v>
      </c>
      <c r="E65" s="13">
        <v>226.67</v>
      </c>
      <c r="F65" s="13">
        <f t="shared" si="4"/>
        <v>56.669999999999987</v>
      </c>
      <c r="G65" s="14">
        <f t="shared" si="5"/>
        <v>0.2500110292495698</v>
      </c>
      <c r="H65" s="9"/>
      <c r="I65" s="9"/>
      <c r="J65" s="9"/>
      <c r="K65" s="9"/>
      <c r="L65" s="15"/>
      <c r="M65" s="12" t="s">
        <v>95</v>
      </c>
      <c r="N65" s="16" t="s">
        <v>144</v>
      </c>
    </row>
    <row r="66" spans="1:14" ht="23.75" customHeight="1" x14ac:dyDescent="0.2">
      <c r="A66" s="5" t="s">
        <v>108</v>
      </c>
      <c r="B66" s="6" t="s">
        <v>145</v>
      </c>
      <c r="C66" s="5" t="s">
        <v>22</v>
      </c>
      <c r="D66" s="7">
        <v>104</v>
      </c>
      <c r="E66" s="7">
        <v>201</v>
      </c>
      <c r="F66" s="7">
        <f t="shared" si="4"/>
        <v>97</v>
      </c>
      <c r="G66" s="8">
        <f t="shared" si="5"/>
        <v>0.48258706467661694</v>
      </c>
      <c r="H66" s="9"/>
      <c r="I66" s="9"/>
      <c r="J66" s="9"/>
      <c r="K66" s="9"/>
      <c r="L66" s="24"/>
      <c r="M66" s="6"/>
      <c r="N66" s="10" t="s">
        <v>146</v>
      </c>
    </row>
    <row r="67" spans="1:14" ht="23.75" customHeight="1" x14ac:dyDescent="0.2">
      <c r="A67" s="11" t="s">
        <v>108</v>
      </c>
      <c r="B67" s="12" t="s">
        <v>147</v>
      </c>
      <c r="C67" s="11" t="s">
        <v>22</v>
      </c>
      <c r="D67" s="13">
        <v>67</v>
      </c>
      <c r="E67" s="13">
        <v>120</v>
      </c>
      <c r="F67" s="13">
        <f t="shared" si="4"/>
        <v>53</v>
      </c>
      <c r="G67" s="14">
        <f t="shared" si="5"/>
        <v>0.44166666666666665</v>
      </c>
      <c r="H67" s="9"/>
      <c r="I67" s="9"/>
      <c r="J67" s="9"/>
      <c r="K67" s="9"/>
      <c r="L67" s="15"/>
      <c r="M67" s="12"/>
      <c r="N67" s="16" t="s">
        <v>148</v>
      </c>
    </row>
    <row r="68" spans="1:14" ht="23.75" customHeight="1" x14ac:dyDescent="0.2">
      <c r="A68" s="5" t="s">
        <v>108</v>
      </c>
      <c r="B68" s="6" t="s">
        <v>149</v>
      </c>
      <c r="C68" s="5" t="s">
        <v>22</v>
      </c>
      <c r="D68" s="7">
        <v>152</v>
      </c>
      <c r="E68" s="7">
        <v>202.67</v>
      </c>
      <c r="F68" s="7">
        <f t="shared" si="4"/>
        <v>50.669999999999987</v>
      </c>
      <c r="G68" s="8">
        <f t="shared" si="5"/>
        <v>0.25001233532343214</v>
      </c>
      <c r="H68" s="9"/>
      <c r="I68" s="9"/>
      <c r="J68" s="9"/>
      <c r="K68" s="9"/>
      <c r="L68" s="24"/>
      <c r="M68" s="6" t="s">
        <v>95</v>
      </c>
      <c r="N68" s="10" t="s">
        <v>150</v>
      </c>
    </row>
    <row r="69" spans="1:14" ht="23.75" customHeight="1" x14ac:dyDescent="0.2">
      <c r="A69" s="11" t="s">
        <v>108</v>
      </c>
      <c r="B69" s="12" t="s">
        <v>151</v>
      </c>
      <c r="C69" s="11" t="s">
        <v>22</v>
      </c>
      <c r="D69" s="13">
        <v>3059</v>
      </c>
      <c r="E69" s="13">
        <v>6650</v>
      </c>
      <c r="F69" s="13">
        <f t="shared" si="4"/>
        <v>3591</v>
      </c>
      <c r="G69" s="14">
        <f t="shared" si="5"/>
        <v>0.54</v>
      </c>
      <c r="H69" s="9"/>
      <c r="I69" s="9"/>
      <c r="J69" s="9"/>
      <c r="K69" s="9"/>
      <c r="L69" s="15"/>
      <c r="M69" s="12"/>
      <c r="N69" s="16" t="s">
        <v>152</v>
      </c>
    </row>
    <row r="70" spans="1:14" ht="23.75" customHeight="1" x14ac:dyDescent="0.2">
      <c r="A70" s="5" t="s">
        <v>108</v>
      </c>
      <c r="B70" s="6" t="s">
        <v>153</v>
      </c>
      <c r="C70" s="5" t="s">
        <v>22</v>
      </c>
      <c r="D70" s="7">
        <v>3059</v>
      </c>
      <c r="E70" s="7">
        <v>6650</v>
      </c>
      <c r="F70" s="7">
        <f t="shared" si="4"/>
        <v>3591</v>
      </c>
      <c r="G70" s="8">
        <f t="shared" si="5"/>
        <v>0.54</v>
      </c>
      <c r="H70" s="9"/>
      <c r="I70" s="9"/>
      <c r="J70" s="9"/>
      <c r="K70" s="9"/>
      <c r="L70" s="24"/>
      <c r="M70" s="6"/>
      <c r="N70" s="10" t="s">
        <v>154</v>
      </c>
    </row>
    <row r="71" spans="1:14" ht="23.75" customHeight="1" x14ac:dyDescent="0.2">
      <c r="A71" s="11" t="s">
        <v>108</v>
      </c>
      <c r="B71" s="12" t="s">
        <v>155</v>
      </c>
      <c r="C71" s="11" t="s">
        <v>22</v>
      </c>
      <c r="D71" s="13">
        <v>3059</v>
      </c>
      <c r="E71" s="13">
        <v>6650</v>
      </c>
      <c r="F71" s="13">
        <f t="shared" si="4"/>
        <v>3591</v>
      </c>
      <c r="G71" s="14">
        <f t="shared" si="5"/>
        <v>0.54</v>
      </c>
      <c r="H71" s="9"/>
      <c r="I71" s="9"/>
      <c r="J71" s="9"/>
      <c r="K71" s="9"/>
      <c r="L71" s="15"/>
      <c r="M71" s="12"/>
      <c r="N71" s="16" t="s">
        <v>156</v>
      </c>
    </row>
    <row r="72" spans="1:14" ht="23.75" customHeight="1" x14ac:dyDescent="0.2">
      <c r="A72" s="5" t="s">
        <v>108</v>
      </c>
      <c r="B72" s="6" t="s">
        <v>157</v>
      </c>
      <c r="C72" s="5" t="s">
        <v>22</v>
      </c>
      <c r="D72" s="7">
        <v>3059</v>
      </c>
      <c r="E72" s="7">
        <v>6650</v>
      </c>
      <c r="F72" s="7">
        <f t="shared" si="4"/>
        <v>3591</v>
      </c>
      <c r="G72" s="8">
        <f t="shared" si="5"/>
        <v>0.54</v>
      </c>
      <c r="H72" s="9"/>
      <c r="I72" s="9"/>
      <c r="J72" s="9"/>
      <c r="K72" s="9"/>
      <c r="L72" s="24"/>
      <c r="M72" s="6"/>
      <c r="N72" s="10" t="s">
        <v>158</v>
      </c>
    </row>
    <row r="73" spans="1:14" ht="23.75" customHeight="1" x14ac:dyDescent="0.2">
      <c r="A73" s="11" t="s">
        <v>108</v>
      </c>
      <c r="B73" s="12" t="s">
        <v>159</v>
      </c>
      <c r="C73" s="11" t="s">
        <v>22</v>
      </c>
      <c r="D73" s="13">
        <v>3254</v>
      </c>
      <c r="E73" s="13">
        <v>6675</v>
      </c>
      <c r="F73" s="13">
        <f t="shared" si="4"/>
        <v>3421</v>
      </c>
      <c r="G73" s="14">
        <f t="shared" si="5"/>
        <v>0.51250936329588015</v>
      </c>
      <c r="H73" s="9"/>
      <c r="I73" s="9"/>
      <c r="J73" s="9"/>
      <c r="K73" s="9"/>
      <c r="L73" s="15"/>
      <c r="M73" s="12"/>
      <c r="N73" s="16" t="s">
        <v>160</v>
      </c>
    </row>
    <row r="74" spans="1:14" ht="23.75" customHeight="1" x14ac:dyDescent="0.2">
      <c r="A74" s="5" t="s">
        <v>108</v>
      </c>
      <c r="B74" s="6" t="s">
        <v>161</v>
      </c>
      <c r="C74" s="5" t="s">
        <v>22</v>
      </c>
      <c r="D74" s="7">
        <v>3254</v>
      </c>
      <c r="E74" s="7">
        <v>6675</v>
      </c>
      <c r="F74" s="7">
        <f t="shared" si="4"/>
        <v>3421</v>
      </c>
      <c r="G74" s="8">
        <f t="shared" si="5"/>
        <v>0.51250936329588015</v>
      </c>
      <c r="H74" s="9"/>
      <c r="I74" s="9"/>
      <c r="J74" s="9"/>
      <c r="K74" s="9"/>
      <c r="L74" s="24"/>
      <c r="M74" s="6"/>
      <c r="N74" s="10" t="s">
        <v>162</v>
      </c>
    </row>
    <row r="75" spans="1:14" ht="23.75" customHeight="1" x14ac:dyDescent="0.2">
      <c r="A75" s="11" t="s">
        <v>108</v>
      </c>
      <c r="B75" s="12" t="s">
        <v>163</v>
      </c>
      <c r="C75" s="11" t="s">
        <v>22</v>
      </c>
      <c r="D75" s="13">
        <v>3254</v>
      </c>
      <c r="E75" s="13">
        <v>6675</v>
      </c>
      <c r="F75" s="13">
        <f t="shared" si="4"/>
        <v>3421</v>
      </c>
      <c r="G75" s="14">
        <f t="shared" si="5"/>
        <v>0.51250936329588015</v>
      </c>
      <c r="H75" s="9"/>
      <c r="I75" s="9"/>
      <c r="J75" s="9"/>
      <c r="K75" s="9"/>
      <c r="L75" s="15"/>
      <c r="M75" s="12"/>
      <c r="N75" s="16" t="s">
        <v>164</v>
      </c>
    </row>
    <row r="76" spans="1:14" ht="23.75" customHeight="1" x14ac:dyDescent="0.2">
      <c r="A76" s="5" t="s">
        <v>108</v>
      </c>
      <c r="B76" s="6" t="s">
        <v>165</v>
      </c>
      <c r="C76" s="5" t="s">
        <v>22</v>
      </c>
      <c r="D76" s="7">
        <v>3254</v>
      </c>
      <c r="E76" s="7">
        <v>6675</v>
      </c>
      <c r="F76" s="7">
        <f t="shared" si="4"/>
        <v>3421</v>
      </c>
      <c r="G76" s="8">
        <f t="shared" si="5"/>
        <v>0.51250936329588015</v>
      </c>
      <c r="H76" s="9"/>
      <c r="I76" s="9"/>
      <c r="J76" s="9"/>
      <c r="K76" s="9"/>
      <c r="L76" s="24"/>
      <c r="M76" s="6"/>
      <c r="N76" s="10" t="s">
        <v>166</v>
      </c>
    </row>
    <row r="77" spans="1:14" ht="24" customHeight="1" x14ac:dyDescent="0.2">
      <c r="A77" s="26" t="s">
        <v>167</v>
      </c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8"/>
    </row>
    <row r="78" spans="1:14" ht="22.25" customHeight="1" x14ac:dyDescent="0.2">
      <c r="A78" s="5" t="s">
        <v>168</v>
      </c>
      <c r="B78" s="6" t="s">
        <v>169</v>
      </c>
      <c r="C78" s="5" t="s">
        <v>22</v>
      </c>
      <c r="D78" s="7">
        <v>621</v>
      </c>
      <c r="E78" s="7">
        <v>832</v>
      </c>
      <c r="F78" s="7">
        <f t="shared" ref="F78:F83" si="6">E78-D78</f>
        <v>211</v>
      </c>
      <c r="G78" s="8">
        <f t="shared" ref="G78:G83" si="7">IF(E78=0,"",((E78-D78)/E78))</f>
        <v>0.25360576923076922</v>
      </c>
      <c r="H78" s="9"/>
      <c r="I78" s="9"/>
      <c r="J78" s="9"/>
      <c r="K78" s="9"/>
      <c r="L78" s="24"/>
      <c r="M78" s="6" t="s">
        <v>95</v>
      </c>
      <c r="N78" s="10" t="s">
        <v>170</v>
      </c>
    </row>
    <row r="79" spans="1:14" ht="22.25" customHeight="1" x14ac:dyDescent="0.2">
      <c r="A79" s="11" t="s">
        <v>168</v>
      </c>
      <c r="B79" s="12" t="s">
        <v>171</v>
      </c>
      <c r="C79" s="11" t="s">
        <v>22</v>
      </c>
      <c r="D79" s="13">
        <v>448.5</v>
      </c>
      <c r="E79" s="13">
        <v>602</v>
      </c>
      <c r="F79" s="13">
        <f t="shared" si="6"/>
        <v>153.5</v>
      </c>
      <c r="G79" s="14">
        <f t="shared" si="7"/>
        <v>0.25498338870431891</v>
      </c>
      <c r="H79" s="9"/>
      <c r="I79" s="9"/>
      <c r="J79" s="9"/>
      <c r="K79" s="9"/>
      <c r="L79" s="15"/>
      <c r="M79" s="12" t="s">
        <v>95</v>
      </c>
      <c r="N79" s="16" t="s">
        <v>172</v>
      </c>
    </row>
    <row r="80" spans="1:14" ht="23.75" customHeight="1" x14ac:dyDescent="0.2">
      <c r="A80" s="5" t="s">
        <v>168</v>
      </c>
      <c r="B80" s="6" t="s">
        <v>173</v>
      </c>
      <c r="C80" s="5" t="s">
        <v>22</v>
      </c>
      <c r="D80" s="7">
        <v>3818</v>
      </c>
      <c r="E80" s="7">
        <v>4775</v>
      </c>
      <c r="F80" s="7">
        <f t="shared" si="6"/>
        <v>957</v>
      </c>
      <c r="G80" s="8">
        <f t="shared" si="7"/>
        <v>0.20041884816753927</v>
      </c>
      <c r="H80" s="9"/>
      <c r="I80" s="9"/>
      <c r="J80" s="9"/>
      <c r="K80" s="9"/>
      <c r="L80" s="24"/>
      <c r="M80" s="6" t="s">
        <v>95</v>
      </c>
      <c r="N80" s="10" t="s">
        <v>174</v>
      </c>
    </row>
    <row r="81" spans="1:14" ht="15" customHeight="1" x14ac:dyDescent="0.2">
      <c r="A81" s="11" t="s">
        <v>168</v>
      </c>
      <c r="B81" s="12" t="s">
        <v>175</v>
      </c>
      <c r="C81" s="11" t="s">
        <v>22</v>
      </c>
      <c r="D81" s="13">
        <v>984</v>
      </c>
      <c r="E81" s="13">
        <v>1257</v>
      </c>
      <c r="F81" s="13">
        <f t="shared" si="6"/>
        <v>273</v>
      </c>
      <c r="G81" s="14">
        <f t="shared" si="7"/>
        <v>0.21718377088305491</v>
      </c>
      <c r="H81" s="9"/>
      <c r="I81" s="9"/>
      <c r="J81" s="9"/>
      <c r="K81" s="9"/>
      <c r="L81" s="15"/>
      <c r="M81" s="12" t="s">
        <v>95</v>
      </c>
      <c r="N81" s="16" t="s">
        <v>176</v>
      </c>
    </row>
    <row r="82" spans="1:14" ht="15" customHeight="1" x14ac:dyDescent="0.2">
      <c r="A82" s="5" t="s">
        <v>168</v>
      </c>
      <c r="B82" s="6" t="s">
        <v>177</v>
      </c>
      <c r="C82" s="5" t="s">
        <v>22</v>
      </c>
      <c r="D82" s="7">
        <v>1427.6</v>
      </c>
      <c r="E82" s="7">
        <v>1800</v>
      </c>
      <c r="F82" s="7">
        <f t="shared" si="6"/>
        <v>372.40000000000009</v>
      </c>
      <c r="G82" s="8">
        <f t="shared" si="7"/>
        <v>0.20688888888888893</v>
      </c>
      <c r="H82" s="9"/>
      <c r="I82" s="9"/>
      <c r="J82" s="9"/>
      <c r="K82" s="9"/>
      <c r="L82" s="24"/>
      <c r="M82" s="6" t="s">
        <v>95</v>
      </c>
      <c r="N82" s="10" t="s">
        <v>178</v>
      </c>
    </row>
    <row r="83" spans="1:14" ht="22.25" customHeight="1" x14ac:dyDescent="0.2">
      <c r="A83" s="11" t="s">
        <v>168</v>
      </c>
      <c r="B83" s="12" t="s">
        <v>179</v>
      </c>
      <c r="C83" s="11" t="s">
        <v>22</v>
      </c>
      <c r="D83" s="13">
        <v>991.2</v>
      </c>
      <c r="E83" s="13">
        <v>1400</v>
      </c>
      <c r="F83" s="13">
        <f t="shared" si="6"/>
        <v>408.79999999999995</v>
      </c>
      <c r="G83" s="14">
        <f t="shared" si="7"/>
        <v>0.29199999999999998</v>
      </c>
      <c r="H83" s="9"/>
      <c r="I83" s="9"/>
      <c r="J83" s="9"/>
      <c r="K83" s="9"/>
      <c r="L83" s="15"/>
      <c r="M83" s="12" t="s">
        <v>95</v>
      </c>
      <c r="N83" s="16" t="s">
        <v>180</v>
      </c>
    </row>
    <row r="84" spans="1:14" ht="24" customHeight="1" x14ac:dyDescent="0.2">
      <c r="A84" s="26" t="s">
        <v>181</v>
      </c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8"/>
    </row>
    <row r="85" spans="1:14" ht="23.75" customHeight="1" x14ac:dyDescent="0.2">
      <c r="A85" s="11" t="s">
        <v>182</v>
      </c>
      <c r="B85" s="12" t="s">
        <v>183</v>
      </c>
      <c r="C85" s="11" t="s">
        <v>22</v>
      </c>
      <c r="D85" s="13">
        <v>17500</v>
      </c>
      <c r="E85" s="13">
        <v>18500</v>
      </c>
      <c r="F85" s="13">
        <f>E85-D85</f>
        <v>1000</v>
      </c>
      <c r="G85" s="14">
        <f>IF(E85=0,"",((E85-D85)/E85))</f>
        <v>5.4054054054054057E-2</v>
      </c>
      <c r="H85" s="9"/>
      <c r="I85" s="9"/>
      <c r="J85" s="9"/>
      <c r="K85" s="9"/>
      <c r="L85" s="15"/>
      <c r="M85" s="21" t="s">
        <v>184</v>
      </c>
      <c r="N85" s="16" t="s">
        <v>185</v>
      </c>
    </row>
    <row r="86" spans="1:14" ht="15" customHeight="1" x14ac:dyDescent="0.2">
      <c r="A86" s="5" t="s">
        <v>182</v>
      </c>
      <c r="B86" s="6" t="s">
        <v>186</v>
      </c>
      <c r="C86" s="5" t="s">
        <v>19</v>
      </c>
      <c r="D86" s="7">
        <v>8962.39</v>
      </c>
      <c r="E86" s="7">
        <v>12500</v>
      </c>
      <c r="F86" s="7">
        <f>E86-D86</f>
        <v>3537.6100000000006</v>
      </c>
      <c r="G86" s="8">
        <f>IF(E86=0,"",((E86-D86)/E86))</f>
        <v>0.28300880000000006</v>
      </c>
      <c r="H86" s="9"/>
      <c r="I86" s="9"/>
      <c r="J86" s="9"/>
      <c r="K86" s="9"/>
      <c r="L86" s="5">
        <v>2</v>
      </c>
      <c r="M86" s="6" t="s">
        <v>95</v>
      </c>
      <c r="N86" s="10" t="s">
        <v>187</v>
      </c>
    </row>
    <row r="87" spans="1:14" ht="24" customHeight="1" x14ac:dyDescent="0.2">
      <c r="A87" s="26" t="s">
        <v>188</v>
      </c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8"/>
    </row>
    <row r="88" spans="1:14" ht="15" customHeight="1" x14ac:dyDescent="0.2">
      <c r="A88" s="5" t="s">
        <v>189</v>
      </c>
      <c r="B88" s="6" t="s">
        <v>190</v>
      </c>
      <c r="C88" s="5" t="s">
        <v>22</v>
      </c>
      <c r="D88" s="7">
        <v>4000</v>
      </c>
      <c r="E88" s="7">
        <v>4500</v>
      </c>
      <c r="F88" s="7">
        <f>E88-D88</f>
        <v>500</v>
      </c>
      <c r="G88" s="8">
        <f>IF(E88=0,"",((E88-D88)/E88))</f>
        <v>0.1111111111111111</v>
      </c>
      <c r="H88" s="9"/>
      <c r="I88" s="9"/>
      <c r="J88" s="9"/>
      <c r="K88" s="9"/>
      <c r="L88" s="24"/>
      <c r="M88" s="23" t="s">
        <v>184</v>
      </c>
      <c r="N88" s="10" t="s">
        <v>191</v>
      </c>
    </row>
    <row r="89" spans="1:14" ht="24" customHeight="1" x14ac:dyDescent="0.2">
      <c r="A89" s="26" t="s">
        <v>192</v>
      </c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8"/>
    </row>
    <row r="90" spans="1:14" ht="22.25" customHeight="1" x14ac:dyDescent="0.2">
      <c r="A90" s="5" t="s">
        <v>193</v>
      </c>
      <c r="B90" s="6" t="s">
        <v>194</v>
      </c>
      <c r="C90" s="5" t="s">
        <v>195</v>
      </c>
      <c r="D90" s="24"/>
      <c r="E90" s="7">
        <v>3000</v>
      </c>
      <c r="F90" s="24"/>
      <c r="G90" s="24"/>
      <c r="H90" s="9"/>
      <c r="I90" s="9"/>
      <c r="J90" s="9"/>
      <c r="K90" s="9"/>
      <c r="L90" s="24"/>
      <c r="M90" s="6" t="s">
        <v>196</v>
      </c>
      <c r="N90" s="10" t="s">
        <v>197</v>
      </c>
    </row>
    <row r="91" spans="1:14" ht="22.25" customHeight="1" x14ac:dyDescent="0.2">
      <c r="A91" s="11" t="s">
        <v>193</v>
      </c>
      <c r="B91" s="12" t="s">
        <v>198</v>
      </c>
      <c r="C91" s="11" t="s">
        <v>195</v>
      </c>
      <c r="D91" s="15"/>
      <c r="E91" s="13">
        <v>1505.96</v>
      </c>
      <c r="F91" s="15"/>
      <c r="G91" s="15"/>
      <c r="H91" s="9"/>
      <c r="I91" s="9"/>
      <c r="J91" s="9"/>
      <c r="K91" s="9"/>
      <c r="L91" s="15"/>
      <c r="M91" s="12" t="s">
        <v>196</v>
      </c>
      <c r="N91" s="16" t="s">
        <v>199</v>
      </c>
    </row>
    <row r="92" spans="1:14" ht="22.25" customHeight="1" x14ac:dyDescent="0.2">
      <c r="A92" s="5" t="s">
        <v>193</v>
      </c>
      <c r="B92" s="6" t="s">
        <v>200</v>
      </c>
      <c r="C92" s="5" t="s">
        <v>195</v>
      </c>
      <c r="D92" s="24"/>
      <c r="E92" s="7">
        <v>1505.96</v>
      </c>
      <c r="F92" s="24"/>
      <c r="G92" s="24"/>
      <c r="H92" s="9"/>
      <c r="I92" s="9"/>
      <c r="J92" s="9"/>
      <c r="K92" s="9"/>
      <c r="L92" s="24"/>
      <c r="M92" s="6" t="s">
        <v>196</v>
      </c>
      <c r="N92" s="10" t="s">
        <v>201</v>
      </c>
    </row>
    <row r="93" spans="1:14" ht="22.25" customHeight="1" x14ac:dyDescent="0.2">
      <c r="A93" s="11" t="s">
        <v>193</v>
      </c>
      <c r="B93" s="12" t="s">
        <v>202</v>
      </c>
      <c r="C93" s="11" t="s">
        <v>195</v>
      </c>
      <c r="D93" s="15"/>
      <c r="E93" s="13">
        <v>1505.96</v>
      </c>
      <c r="F93" s="15"/>
      <c r="G93" s="15"/>
      <c r="H93" s="9"/>
      <c r="I93" s="9"/>
      <c r="J93" s="9"/>
      <c r="K93" s="9"/>
      <c r="L93" s="15"/>
      <c r="M93" s="12" t="s">
        <v>196</v>
      </c>
      <c r="N93" s="16" t="s">
        <v>203</v>
      </c>
    </row>
    <row r="94" spans="1:14" ht="22.25" customHeight="1" x14ac:dyDescent="0.2">
      <c r="A94" s="5" t="s">
        <v>193</v>
      </c>
      <c r="B94" s="6" t="s">
        <v>204</v>
      </c>
      <c r="C94" s="5" t="s">
        <v>195</v>
      </c>
      <c r="D94" s="24"/>
      <c r="E94" s="7">
        <v>1505.96</v>
      </c>
      <c r="F94" s="24"/>
      <c r="G94" s="24"/>
      <c r="H94" s="9"/>
      <c r="I94" s="9"/>
      <c r="J94" s="9"/>
      <c r="K94" s="9"/>
      <c r="L94" s="24"/>
      <c r="M94" s="6" t="s">
        <v>196</v>
      </c>
      <c r="N94" s="10" t="s">
        <v>205</v>
      </c>
    </row>
    <row r="95" spans="1:14" ht="24" customHeight="1" x14ac:dyDescent="0.2">
      <c r="A95" s="26" t="s">
        <v>206</v>
      </c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8"/>
    </row>
    <row r="96" spans="1:14" ht="15" customHeight="1" x14ac:dyDescent="0.2">
      <c r="A96" s="5" t="s">
        <v>207</v>
      </c>
      <c r="B96" s="6" t="s">
        <v>208</v>
      </c>
      <c r="C96" s="5" t="s">
        <v>195</v>
      </c>
      <c r="D96" s="24"/>
      <c r="E96" s="7">
        <v>0</v>
      </c>
      <c r="F96" s="24"/>
      <c r="G96" s="24"/>
      <c r="H96" s="9"/>
      <c r="I96" s="9"/>
      <c r="J96" s="9"/>
      <c r="K96" s="9"/>
      <c r="L96" s="24"/>
      <c r="M96" s="6" t="s">
        <v>196</v>
      </c>
      <c r="N96" s="10" t="s">
        <v>209</v>
      </c>
    </row>
    <row r="97" spans="1:14" ht="15" customHeight="1" x14ac:dyDescent="0.2">
      <c r="A97" s="11" t="s">
        <v>207</v>
      </c>
      <c r="B97" s="12" t="s">
        <v>210</v>
      </c>
      <c r="C97" s="11" t="s">
        <v>22</v>
      </c>
      <c r="D97" s="15"/>
      <c r="E97" s="13">
        <v>68.19</v>
      </c>
      <c r="F97" s="15"/>
      <c r="G97" s="15"/>
      <c r="H97" s="9"/>
      <c r="I97" s="9"/>
      <c r="J97" s="9"/>
      <c r="K97" s="9"/>
      <c r="L97" s="15"/>
      <c r="M97" s="12" t="s">
        <v>196</v>
      </c>
      <c r="N97" s="16" t="s">
        <v>211</v>
      </c>
    </row>
    <row r="99" spans="1:14" ht="27.75" customHeight="1" x14ac:dyDescent="0.2">
      <c r="A99" s="33" t="s">
        <v>212</v>
      </c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</row>
    <row r="100" spans="1:14" ht="15" customHeight="1" x14ac:dyDescent="0.2">
      <c r="A100" s="25" t="s">
        <v>213</v>
      </c>
      <c r="B100" s="32" t="s">
        <v>214</v>
      </c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8"/>
    </row>
    <row r="101" spans="1:14" ht="15" customHeight="1" x14ac:dyDescent="0.2">
      <c r="A101" s="25" t="s">
        <v>215</v>
      </c>
      <c r="B101" s="32" t="s">
        <v>216</v>
      </c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8"/>
    </row>
    <row r="102" spans="1:14" ht="15" customHeight="1" x14ac:dyDescent="0.2">
      <c r="A102" s="25" t="s">
        <v>217</v>
      </c>
      <c r="B102" s="32" t="s">
        <v>218</v>
      </c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8"/>
    </row>
    <row r="103" spans="1:14" ht="15" customHeight="1" x14ac:dyDescent="0.2">
      <c r="A103" s="25" t="s">
        <v>219</v>
      </c>
      <c r="B103" s="32" t="s">
        <v>220</v>
      </c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8"/>
    </row>
    <row r="104" spans="1:14" ht="15" customHeight="1" x14ac:dyDescent="0.2">
      <c r="A104" s="25" t="s">
        <v>221</v>
      </c>
      <c r="B104" s="32" t="s">
        <v>222</v>
      </c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8"/>
    </row>
    <row r="106" spans="1:14" ht="27.75" customHeight="1" x14ac:dyDescent="0.2">
      <c r="A106" s="35" t="s">
        <v>223</v>
      </c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</row>
    <row r="107" spans="1:14" ht="21.75" customHeight="1" x14ac:dyDescent="0.2">
      <c r="A107" s="29" t="s">
        <v>224</v>
      </c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8"/>
    </row>
    <row r="108" spans="1:14" ht="21.75" customHeight="1" x14ac:dyDescent="0.2">
      <c r="A108" s="29" t="s">
        <v>225</v>
      </c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8"/>
    </row>
    <row r="109" spans="1:14" ht="21.75" customHeight="1" x14ac:dyDescent="0.2">
      <c r="A109" s="29" t="s">
        <v>226</v>
      </c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8"/>
    </row>
    <row r="110" spans="1:14" ht="21.75" customHeight="1" x14ac:dyDescent="0.2">
      <c r="A110" s="29" t="s">
        <v>227</v>
      </c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8"/>
    </row>
    <row r="111" spans="1:14" ht="21.75" customHeight="1" x14ac:dyDescent="0.2">
      <c r="A111" s="29" t="s">
        <v>228</v>
      </c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8"/>
    </row>
    <row r="112" spans="1:14" ht="21.75" customHeight="1" x14ac:dyDescent="0.2">
      <c r="A112" s="29" t="s">
        <v>229</v>
      </c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8"/>
    </row>
  </sheetData>
  <mergeCells count="22">
    <mergeCell ref="A5:N5"/>
    <mergeCell ref="B101:N101"/>
    <mergeCell ref="A106:N106"/>
    <mergeCell ref="A109:N109"/>
    <mergeCell ref="A112:N112"/>
    <mergeCell ref="A111:N111"/>
    <mergeCell ref="A77:N77"/>
    <mergeCell ref="A107:N107"/>
    <mergeCell ref="A1:N1"/>
    <mergeCell ref="B104:N104"/>
    <mergeCell ref="A110:N110"/>
    <mergeCell ref="B103:N103"/>
    <mergeCell ref="A87:N87"/>
    <mergeCell ref="B100:N100"/>
    <mergeCell ref="A108:N108"/>
    <mergeCell ref="A99:N99"/>
    <mergeCell ref="A84:N84"/>
    <mergeCell ref="A89:N89"/>
    <mergeCell ref="B102:N102"/>
    <mergeCell ref="A2:N2"/>
    <mergeCell ref="A95:N95"/>
    <mergeCell ref="A47:N47"/>
  </mergeCells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Pricing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C Norris</cp:lastModifiedBy>
  <cp:revision>0</cp:revision>
  <dcterms:created xsi:type="dcterms:W3CDTF">2026-03-31T18:59:45Z</dcterms:created>
  <dcterms:modified xsi:type="dcterms:W3CDTF">2026-03-31T21:39:50Z</dcterms:modified>
  <dc:language>en-US</dc:language>
</cp:coreProperties>
</file>