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 Price List" sheetId="1" state="visible" r:id="rId1"/>
    <sheet xmlns:r="http://schemas.openxmlformats.org/officeDocument/2006/relationships" name="Dealer Price List" sheetId="2" state="visible" r:id="rId2"/>
    <sheet xmlns:r="http://schemas.openxmlformats.org/officeDocument/2006/relationships" name="Internal Master" sheetId="3" state="visible" r:id="rId3"/>
    <sheet xmlns:r="http://schemas.openxmlformats.org/officeDocument/2006/relationships" name="Samson Rope Pri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7">
    <font>
      <name val="Calibri"/>
      <family val="2"/>
      <color theme="1"/>
      <sz val="11"/>
      <scheme val="minor"/>
    </font>
    <font>
      <name val="Lato"/>
      <b val="1"/>
      <color rgb="000033CC"/>
      <sz val="16"/>
    </font>
    <font>
      <name val="Lato"/>
      <color rgb="00666666"/>
      <sz val="10"/>
    </font>
    <font>
      <name val="Lato"/>
      <b val="1"/>
      <color rgb="00FFFFFF"/>
      <sz val="11"/>
    </font>
    <font>
      <name val="Lato"/>
      <b val="1"/>
      <color rgb="000033CC"/>
      <sz val="11"/>
    </font>
    <font>
      <name val="Lato"/>
      <sz val="10"/>
    </font>
    <font>
      <name val="Lato"/>
      <b val="1"/>
      <color rgb="000033CC"/>
      <sz val="10"/>
    </font>
    <font>
      <name val="Lato"/>
      <color rgb="00666666"/>
      <sz val="9"/>
    </font>
    <font>
      <name val="Lato"/>
      <b val="1"/>
      <color rgb="00CC0000"/>
      <sz val="13"/>
    </font>
    <font>
      <name val="Lato"/>
      <b val="1"/>
      <color rgb="00FFFFFF"/>
      <sz val="10"/>
    </font>
    <font>
      <name val="Lato"/>
      <b val="1"/>
      <color rgb="000A0E5C"/>
      <sz val="10"/>
    </font>
    <font>
      <name val="Lato"/>
      <color rgb="00888888"/>
      <sz val="10"/>
    </font>
    <font>
      <name val="Lato"/>
      <color rgb="00009900"/>
      <sz val="10"/>
    </font>
    <font>
      <name val="Lato"/>
      <b val="1"/>
      <color rgb="00003366"/>
      <sz val="14"/>
    </font>
    <font>
      <name val="Lato"/>
      <b val="1"/>
      <color rgb="00CC0000"/>
      <sz val="11"/>
    </font>
    <font>
      <name val="Lato"/>
      <b val="1"/>
      <color rgb="00003366"/>
      <sz val="10"/>
    </font>
    <font>
      <name val="Lato"/>
      <b val="1"/>
      <sz val="10"/>
    </font>
  </fonts>
  <fills count="12">
    <fill>
      <patternFill/>
    </fill>
    <fill>
      <patternFill patternType="gray125"/>
    </fill>
    <fill>
      <patternFill patternType="solid">
        <fgColor rgb="000033CC"/>
      </patternFill>
    </fill>
    <fill>
      <patternFill patternType="solid">
        <fgColor rgb="00E8EEFF"/>
      </patternFill>
    </fill>
    <fill>
      <patternFill patternType="solid">
        <fgColor rgb="00F5F7FF"/>
      </patternFill>
    </fill>
    <fill>
      <patternFill patternType="solid">
        <fgColor rgb="000A0E5C"/>
      </patternFill>
    </fill>
    <fill>
      <patternFill patternType="solid">
        <fgColor rgb="00E0E4F0"/>
      </patternFill>
    </fill>
    <fill>
      <patternFill patternType="solid">
        <fgColor rgb="00333333"/>
      </patternFill>
    </fill>
    <fill>
      <patternFill patternType="solid">
        <fgColor rgb="00F8F8F8"/>
      </patternFill>
    </fill>
    <fill>
      <patternFill patternType="solid">
        <fgColor rgb="00003366"/>
      </patternFill>
    </fill>
    <fill>
      <patternFill patternType="solid">
        <fgColor rgb="00D6E4F0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left" wrapText="1"/>
    </xf>
    <xf numFmtId="0" fontId="5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5" borderId="1" pivotButton="0" quotePrefix="0" xfId="0"/>
    <xf numFmtId="0" fontId="10" fillId="6" borderId="1" pivotButton="0" quotePrefix="0" xfId="0"/>
    <xf numFmtId="0" fontId="5" fillId="0" borderId="1" pivotButton="0" quotePrefix="0" xfId="0"/>
    <xf numFmtId="164" fontId="11" fillId="0" borderId="1" pivotButton="0" quotePrefix="0" xfId="0"/>
    <xf numFmtId="164" fontId="6" fillId="0" borderId="1" pivotButton="0" quotePrefix="0" xfId="0"/>
    <xf numFmtId="164" fontId="12" fillId="0" borderId="1" pivotButton="0" quotePrefix="0" xfId="0"/>
    <xf numFmtId="0" fontId="5" fillId="4" borderId="1" pivotButton="0" quotePrefix="0" xfId="0"/>
    <xf numFmtId="164" fontId="11" fillId="4" borderId="1" pivotButton="0" quotePrefix="0" xfId="0"/>
    <xf numFmtId="164" fontId="6" fillId="4" borderId="1" pivotButton="0" quotePrefix="0" xfId="0"/>
    <xf numFmtId="164" fontId="12" fillId="4" borderId="1" pivotButton="0" quotePrefix="0" xfId="0"/>
    <xf numFmtId="0" fontId="9" fillId="7" borderId="1" applyAlignment="1" pivotButton="0" quotePrefix="0" xfId="0">
      <alignment horizontal="center" wrapText="1"/>
    </xf>
    <xf numFmtId="164" fontId="5" fillId="0" borderId="1" pivotButton="0" quotePrefix="0" xfId="0"/>
    <xf numFmtId="165" fontId="0" fillId="0" borderId="1" pivotButton="0" quotePrefix="0" xfId="0"/>
    <xf numFmtId="0" fontId="5" fillId="8" borderId="1" pivotButton="0" quotePrefix="0" xfId="0"/>
    <xf numFmtId="164" fontId="5" fillId="8" borderId="1" pivotButton="0" quotePrefix="0" xfId="0"/>
    <xf numFmtId="165" fontId="0" fillId="8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9" fillId="9" borderId="1" applyAlignment="1" pivotButton="0" quotePrefix="0" xfId="0">
      <alignment horizontal="center" wrapText="1"/>
    </xf>
    <xf numFmtId="0" fontId="15" fillId="10" borderId="1" pivotButton="0" quotePrefix="0" xfId="0"/>
    <xf numFmtId="0" fontId="5" fillId="0" borderId="1" applyAlignment="1" pivotButton="0" quotePrefix="0" xfId="0">
      <alignment wrapText="1"/>
    </xf>
    <xf numFmtId="164" fontId="5" fillId="0" borderId="1" applyAlignment="1" pivotButton="0" quotePrefix="0" xfId="0">
      <alignment wrapText="1"/>
    </xf>
    <xf numFmtId="165" fontId="5" fillId="0" borderId="1" applyAlignment="1" pivotButton="0" quotePrefix="0" xfId="0">
      <alignment wrapText="1"/>
    </xf>
    <xf numFmtId="0" fontId="5" fillId="11" borderId="1" applyAlignment="1" pivotButton="0" quotePrefix="0" xfId="0">
      <alignment wrapText="1"/>
    </xf>
    <xf numFmtId="164" fontId="5" fillId="11" borderId="1" applyAlignment="1" pivotButton="0" quotePrefix="0" xfId="0">
      <alignment wrapText="1"/>
    </xf>
    <xf numFmtId="165" fontId="5" fillId="11" borderId="1" applyAlignment="1" pivotButton="0" quotePrefix="0" xfId="0">
      <alignment wrapText="1"/>
    </xf>
    <xf numFmtId="164" fontId="6" fillId="11" borderId="1" pivotButton="0" quotePrefix="0" xfId="0"/>
    <xf numFmtId="164" fontId="11" fillId="11" borderId="1" pivotButton="0" quotePrefix="0" xfId="0"/>
    <xf numFmtId="0" fontId="5" fillId="11" borderId="1" pivotButton="0" quotePrefix="0" xfId="0"/>
    <xf numFmtId="0" fontId="1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12" customWidth="1" min="4" max="4"/>
  </cols>
  <sheetData>
    <row r="1">
      <c r="A1" s="1" t="inlineStr">
        <is>
          <t>FlexPro Armor — Product &amp; Price List</t>
        </is>
      </c>
    </row>
    <row r="2">
      <c r="A2" s="2" t="inlineStr">
        <is>
          <t>Norris Utilities, LLC  |  Effective April 2026  |  All Products Hand Made in the USA</t>
        </is>
      </c>
    </row>
    <row r="4">
      <c r="A4" s="3" t="inlineStr">
        <is>
          <t>P/N</t>
        </is>
      </c>
      <c r="B4" s="3" t="inlineStr">
        <is>
          <t>Product Description</t>
        </is>
      </c>
      <c r="C4" s="3" t="inlineStr">
        <is>
          <t>Size</t>
        </is>
      </c>
      <c r="D4" s="3" t="inlineStr">
        <is>
          <t>Price</t>
        </is>
      </c>
    </row>
    <row r="5">
      <c r="A5" s="4" t="inlineStr">
        <is>
          <t>STANDARD BUCKET COVERS — Collapsible 3-Panel Rigid Design</t>
        </is>
      </c>
    </row>
    <row r="6">
      <c r="A6" s="5" t="inlineStr">
        <is>
          <t>NU-BC-2828</t>
        </is>
      </c>
      <c r="B6" s="6" t="inlineStr">
        <is>
          <t>FlexPro Armor Bucket Cover for 1-Man Bucket</t>
        </is>
      </c>
      <c r="C6" s="7" t="inlineStr">
        <is>
          <t>28" x 28"</t>
        </is>
      </c>
      <c r="D6" s="8" t="n">
        <v>235</v>
      </c>
    </row>
    <row r="7">
      <c r="A7" s="9" t="inlineStr">
        <is>
          <t>NU-BC-2834</t>
        </is>
      </c>
      <c r="B7" s="10" t="inlineStr">
        <is>
          <t>FlexPro Armor Bucket Cover for 1.5-Man Bucket</t>
        </is>
      </c>
      <c r="C7" s="11" t="inlineStr">
        <is>
          <t>28" x 34"</t>
        </is>
      </c>
      <c r="D7" s="12" t="n">
        <v>265</v>
      </c>
    </row>
    <row r="8">
      <c r="A8" s="5" t="inlineStr">
        <is>
          <t>NU-BC-2842</t>
        </is>
      </c>
      <c r="B8" s="6" t="inlineStr">
        <is>
          <t>FlexPro Armor Bucket Cover for 1.5-Man (Large) Bucket</t>
        </is>
      </c>
      <c r="C8" s="7" t="inlineStr">
        <is>
          <t>28" x 42"</t>
        </is>
      </c>
      <c r="D8" s="8" t="n">
        <v>265</v>
      </c>
    </row>
    <row r="9">
      <c r="A9" s="9" t="inlineStr">
        <is>
          <t>NU-BC-2844</t>
        </is>
      </c>
      <c r="B9" s="10" t="inlineStr">
        <is>
          <t>FlexPro Armor Bucket Cover for 1.5-Man Bucket (Specialty)</t>
        </is>
      </c>
      <c r="C9" s="11" t="inlineStr">
        <is>
          <t>28" x 44"</t>
        </is>
      </c>
      <c r="D9" s="12" t="n">
        <v>295</v>
      </c>
    </row>
    <row r="10">
      <c r="A10" s="5" t="inlineStr">
        <is>
          <t>NU-BC-2851</t>
        </is>
      </c>
      <c r="B10" s="6" t="inlineStr">
        <is>
          <t>FlexPro Armor Bucket Cover for 2-Man Bucket</t>
        </is>
      </c>
      <c r="C10" s="7" t="inlineStr">
        <is>
          <t>28" x 51"</t>
        </is>
      </c>
      <c r="D10" s="8" t="n">
        <v>305</v>
      </c>
    </row>
    <row r="11">
      <c r="A11" s="4" t="inlineStr">
        <is>
          <t>UPPER CONTROL COVERS — Collapsible 3-Panel Rigid Design with Upper Control Cover</t>
        </is>
      </c>
    </row>
    <row r="12">
      <c r="A12" s="5" t="inlineStr">
        <is>
          <t>NU-BC-CC2834</t>
        </is>
      </c>
      <c r="B12" s="6" t="inlineStr">
        <is>
          <t>FlexPro Armor Bucket Cover for 1.5-Man with Upper Control Cover</t>
        </is>
      </c>
      <c r="C12" s="7" t="inlineStr">
        <is>
          <t>28" x 34"</t>
        </is>
      </c>
      <c r="D12" s="8" t="n">
        <v>285</v>
      </c>
    </row>
    <row r="13">
      <c r="A13" s="4" t="inlineStr">
        <is>
          <t>ARCH BUCKET COVERS — Collapsible 3-Panel Rigid Arching Design</t>
        </is>
      </c>
    </row>
    <row r="14">
      <c r="A14" s="5" t="inlineStr">
        <is>
          <t>NU-BC-2834-F</t>
        </is>
      </c>
      <c r="B14" s="6" t="inlineStr">
        <is>
          <t>FlexPro Armor ARCH Bucket Cover for 1.5-Man Bucket</t>
        </is>
      </c>
      <c r="C14" s="7" t="inlineStr">
        <is>
          <t>28" x 34"</t>
        </is>
      </c>
      <c r="D14" s="8" t="n">
        <v>305</v>
      </c>
    </row>
    <row r="15">
      <c r="A15" s="9" t="inlineStr">
        <is>
          <t>NU-BC-2851-F</t>
        </is>
      </c>
      <c r="B15" s="10" t="inlineStr">
        <is>
          <t>FlexPro Armor ARCH Bucket Cover for 2-Man Bucket</t>
        </is>
      </c>
      <c r="C15" s="11" t="inlineStr">
        <is>
          <t>28" x 51"</t>
        </is>
      </c>
      <c r="D15" s="12" t="n">
        <v>345</v>
      </c>
    </row>
    <row r="16">
      <c r="A16" s="4" t="inlineStr">
        <is>
          <t>BUCKET COVER + SHIELD COMBOS — Cover + Protective Bag with Snap &amp; Lanyard</t>
        </is>
      </c>
    </row>
    <row r="17">
      <c r="A17" s="5" t="inlineStr">
        <is>
          <t>NU-BC-2834-C</t>
        </is>
      </c>
      <c r="B17" s="6" t="inlineStr">
        <is>
          <t>FlexPro Armor 1.5-Man Bucket Cover + Shield Combo</t>
        </is>
      </c>
      <c r="C17" s="7" t="inlineStr">
        <is>
          <t>28" x 34"</t>
        </is>
      </c>
      <c r="D17" s="8" t="n">
        <v>305</v>
      </c>
    </row>
    <row r="18">
      <c r="A18" s="9" t="inlineStr">
        <is>
          <t>NU-BC-2851-C</t>
        </is>
      </c>
      <c r="B18" s="10" t="inlineStr">
        <is>
          <t>FlexPro Armor 2-Man Bucket Cover + Shield Combo</t>
        </is>
      </c>
      <c r="C18" s="11" t="inlineStr">
        <is>
          <t>28" x 51"</t>
        </is>
      </c>
      <c r="D18" s="12" t="n">
        <v>345</v>
      </c>
    </row>
    <row r="19">
      <c r="A19" s="4" t="inlineStr">
        <is>
          <t>ARCH COVER + SHIELD COMBOS</t>
        </is>
      </c>
    </row>
    <row r="20">
      <c r="A20" s="5" t="inlineStr">
        <is>
          <t>NU-BC-2834-FC</t>
        </is>
      </c>
      <c r="B20" s="6" t="inlineStr">
        <is>
          <t>FlexPro Armor ARCH 1.5-Man + Shield Combo</t>
        </is>
      </c>
      <c r="C20" s="7" t="inlineStr">
        <is>
          <t>28" x 34"</t>
        </is>
      </c>
      <c r="D20" s="8" t="n">
        <v>345</v>
      </c>
    </row>
    <row r="21">
      <c r="A21" s="9" t="inlineStr">
        <is>
          <t>NU-BC-2851-FC</t>
        </is>
      </c>
      <c r="B21" s="10" t="inlineStr">
        <is>
          <t>FlexPro Armor ARCH 2-Man + Shield Combo</t>
        </is>
      </c>
      <c r="C21" s="11" t="inlineStr">
        <is>
          <t>28" x 51"</t>
        </is>
      </c>
      <c r="D21" s="12" t="n">
        <v>385</v>
      </c>
    </row>
    <row r="22">
      <c r="A22" s="4" t="inlineStr">
        <is>
          <t>D-SHAPE &amp; SPECIALTY COVERS — Collapsible 4-Panel Rigid Design</t>
        </is>
      </c>
    </row>
    <row r="23">
      <c r="A23" s="5" t="inlineStr">
        <is>
          <t>NU-BC-D4577</t>
        </is>
      </c>
      <c r="B23" s="6" t="inlineStr">
        <is>
          <t>FlexPro Armor D-Shape Transmission BC with Upper Control Cover</t>
        </is>
      </c>
      <c r="C23" s="7" t="inlineStr">
        <is>
          <t>45" x 77"</t>
        </is>
      </c>
      <c r="D23" s="8" t="n">
        <v>1050</v>
      </c>
    </row>
    <row r="24">
      <c r="A24" s="9" t="inlineStr">
        <is>
          <t>NU-BC-D4577-MSP</t>
        </is>
      </c>
      <c r="B24" s="10" t="inlineStr">
        <is>
          <t>FlexPro Armor D-Shape MSP Spec (wide opening)</t>
        </is>
      </c>
      <c r="C24" s="11" t="inlineStr">
        <is>
          <t>45" x 77"</t>
        </is>
      </c>
      <c r="D24" s="12" t="n">
        <v>1100</v>
      </c>
    </row>
    <row r="25">
      <c r="A25" s="5" t="inlineStr">
        <is>
          <t>NU-BC-BY2828</t>
        </is>
      </c>
      <c r="B25" s="6" t="inlineStr">
        <is>
          <t>FlexPro Armor BC for SDP &amp; Pin-On Buckets with Bracket Relief</t>
        </is>
      </c>
      <c r="C25" s="7" t="inlineStr">
        <is>
          <t>28" x 28"</t>
        </is>
      </c>
      <c r="D25" s="8" t="n">
        <v>275</v>
      </c>
    </row>
    <row r="26">
      <c r="A26" s="9" t="inlineStr">
        <is>
          <t>NU-BC-2945-EPBC</t>
        </is>
      </c>
      <c r="B26" s="10" t="inlineStr">
        <is>
          <t>FlexPro Armor Bucket Cover for EPBC ETI Buckets</t>
        </is>
      </c>
      <c r="C26" s="11" t="inlineStr">
        <is>
          <t>29" x 45"</t>
        </is>
      </c>
      <c r="D26" s="12" t="n">
        <v>325</v>
      </c>
    </row>
    <row r="27">
      <c r="A27" s="5" t="inlineStr">
        <is>
          <t>TC-6060</t>
        </is>
      </c>
      <c r="B27" s="6" t="inlineStr">
        <is>
          <t>FlexPro Armor Test Tank Cover for Dielectric Test Tank</t>
        </is>
      </c>
      <c r="C27" s="7" t="inlineStr">
        <is>
          <t>60" x 60"</t>
        </is>
      </c>
      <c r="D27" s="8" t="n">
        <v>1100</v>
      </c>
    </row>
    <row r="28">
      <c r="A28" s="4" t="inlineStr">
        <is>
          <t>BUCKET COVER SHIELDS (PROTECTIVE BAGS) — Sold Separately</t>
        </is>
      </c>
    </row>
    <row r="29">
      <c r="A29" s="5" t="inlineStr">
        <is>
          <t>NU-BCB-2834-SL</t>
        </is>
      </c>
      <c r="B29" s="6" t="inlineStr">
        <is>
          <t>FlexPro Armor 1.5-Man Shield with Snap &amp; Lanyard</t>
        </is>
      </c>
      <c r="C29" s="7" t="inlineStr">
        <is>
          <t>28" x 34"</t>
        </is>
      </c>
      <c r="D29" s="8" t="n">
        <v>45</v>
      </c>
    </row>
    <row r="30">
      <c r="A30" s="9" t="inlineStr">
        <is>
          <t>NU-BCB-2851-SL</t>
        </is>
      </c>
      <c r="B30" s="10" t="inlineStr">
        <is>
          <t>FlexPro Armor 2-Man Shield with Snap &amp; Lanyard</t>
        </is>
      </c>
      <c r="C30" s="11" t="inlineStr">
        <is>
          <t>28" x 51"</t>
        </is>
      </c>
      <c r="D30" s="12" t="n">
        <v>55</v>
      </c>
    </row>
    <row r="31">
      <c r="A31" s="4" t="inlineStr">
        <is>
          <t>DIRT TARPS — Collapsible with 5,000 lb. Rating</t>
        </is>
      </c>
    </row>
    <row r="32">
      <c r="A32" s="5" t="inlineStr">
        <is>
          <t>DS-9696</t>
        </is>
      </c>
      <c r="B32" s="6" t="inlineStr">
        <is>
          <t>Dirt Tarp 8' x 8'</t>
        </is>
      </c>
      <c r="C32" s="7" t="inlineStr">
        <is>
          <t>96" x 96"</t>
        </is>
      </c>
      <c r="D32" s="8" t="n">
        <v>450</v>
      </c>
    </row>
    <row r="33">
      <c r="A33" s="9" t="inlineStr">
        <is>
          <t>DS-9696-R</t>
        </is>
      </c>
      <c r="B33" s="10" t="inlineStr">
        <is>
          <t>Dirt Tarp 8' x 8' Reinforced with Extra Webbing</t>
        </is>
      </c>
      <c r="C33" s="11" t="inlineStr">
        <is>
          <t>96" x 96"</t>
        </is>
      </c>
      <c r="D33" s="12" t="n">
        <v>510</v>
      </c>
    </row>
    <row r="34">
      <c r="A34" s="5" t="inlineStr">
        <is>
          <t>DS-9696-L</t>
        </is>
      </c>
      <c r="B34" s="6" t="inlineStr">
        <is>
          <t>Dirt Tarp 8' x 8' "Light"</t>
        </is>
      </c>
      <c r="C34" s="7" t="inlineStr">
        <is>
          <t>96" x 96"</t>
        </is>
      </c>
      <c r="D34" s="8" t="n">
        <v>250</v>
      </c>
    </row>
    <row r="35">
      <c r="A35" s="9" t="inlineStr">
        <is>
          <t>DS-120120</t>
        </is>
      </c>
      <c r="B35" s="10" t="inlineStr">
        <is>
          <t>Dirt Tarp 10' x 10'</t>
        </is>
      </c>
      <c r="C35" s="11" t="inlineStr">
        <is>
          <t>120" x 120"</t>
        </is>
      </c>
      <c r="D35" s="12" t="n">
        <v>550</v>
      </c>
    </row>
    <row r="36">
      <c r="A36" s="5" t="inlineStr">
        <is>
          <t>DS-9696-PN</t>
        </is>
      </c>
      <c r="B36" s="6" t="inlineStr">
        <is>
          <t>Pole Notch Dirt Tarp 8' x 8' with U-Shape Cut Out</t>
        </is>
      </c>
      <c r="C36" s="7" t="inlineStr">
        <is>
          <t>96" x 96"</t>
        </is>
      </c>
      <c r="D36" s="8" t="n">
        <v>515</v>
      </c>
    </row>
    <row r="37">
      <c r="A37" s="4" t="inlineStr">
        <is>
          <t>OTHER PRODUCTS</t>
        </is>
      </c>
    </row>
    <row r="38">
      <c r="A38" s="5" t="inlineStr">
        <is>
          <t>NU-TB2524-M</t>
        </is>
      </c>
      <c r="B38" s="6" t="inlineStr">
        <is>
          <t>Magnetic Tool Board, by Norris Utilities</t>
        </is>
      </c>
      <c r="C38" s="7" t="inlineStr">
        <is>
          <t>25" x 24"</t>
        </is>
      </c>
      <c r="D38" s="8" t="n">
        <v>195</v>
      </c>
    </row>
    <row r="39">
      <c r="A39" s="9" t="inlineStr">
        <is>
          <t>AC-GB1512</t>
        </is>
      </c>
      <c r="B39" s="10" t="inlineStr">
        <is>
          <t>Grunt Bag / Nose Bag (Canvas, Embroidered)</t>
        </is>
      </c>
      <c r="C39" s="11" t="inlineStr">
        <is>
          <t>15" x 12"</t>
        </is>
      </c>
      <c r="D39" s="12" t="n">
        <v>89.75</v>
      </c>
    </row>
    <row r="40">
      <c r="A40" s="5" t="inlineStr">
        <is>
          <t>PJA-3-30</t>
        </is>
      </c>
      <c r="B40" s="6" t="inlineStr">
        <is>
          <t>Pole Jacking Assembly with 3 ft Threaded Rod</t>
        </is>
      </c>
      <c r="C40" s="7" t="inlineStr">
        <is>
          <t>—</t>
        </is>
      </c>
      <c r="D40" s="8" t="n">
        <v>2000</v>
      </c>
    </row>
    <row r="42">
      <c r="A42" s="13" t="inlineStr">
        <is>
          <t>All prices subject to change without notice. Pricing does not include shipping.</t>
        </is>
      </c>
    </row>
    <row r="43">
      <c r="A43" s="13" t="inlineStr">
        <is>
          <t>Custom sizes, colors, and configurations available upon request.</t>
        </is>
      </c>
    </row>
    <row r="44">
      <c r="A44" s="13" t="inlineStr">
        <is>
          <t>Norris Utilities, LLC  •  Birmingham, AL  •  (205) 527-8075  •  acnorris@norrisutilities.com</t>
        </is>
      </c>
    </row>
  </sheetData>
  <mergeCells count="11">
    <mergeCell ref="A1:D1"/>
    <mergeCell ref="A5:D5"/>
    <mergeCell ref="A37:D37"/>
    <mergeCell ref="A31:D31"/>
    <mergeCell ref="A22:D22"/>
    <mergeCell ref="A2:D2"/>
    <mergeCell ref="A11:D11"/>
    <mergeCell ref="A16:D16"/>
    <mergeCell ref="A19:D19"/>
    <mergeCell ref="A28:D28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0" customWidth="1" min="3" max="3"/>
    <col width="13" customWidth="1" min="4" max="4"/>
    <col width="13" customWidth="1" min="5" max="5"/>
    <col width="11" customWidth="1" min="6" max="6"/>
  </cols>
  <sheetData>
    <row r="1">
      <c r="A1" s="14" t="inlineStr">
        <is>
          <t>CONFIDENTIAL — FlexPro Armor Dealer Price List — Authorized Dealers Only</t>
        </is>
      </c>
    </row>
    <row r="2">
      <c r="A2" s="2" t="inlineStr">
        <is>
          <t>Norris Utilities, LLC  |  Effective April 2026  |  Not for distribution</t>
        </is>
      </c>
    </row>
    <row r="4">
      <c r="A4" s="15" t="inlineStr">
        <is>
          <t>P/N</t>
        </is>
      </c>
      <c r="B4" s="15" t="inlineStr">
        <is>
          <t>Product</t>
        </is>
      </c>
      <c r="C4" s="15" t="inlineStr">
        <is>
          <t>Size</t>
        </is>
      </c>
      <c r="D4" s="15" t="inlineStr">
        <is>
          <t>Direct Price</t>
        </is>
      </c>
      <c r="E4" s="15" t="inlineStr">
        <is>
          <t>Dealer Price</t>
        </is>
      </c>
      <c r="F4" s="15" t="inlineStr">
        <is>
          <t>Savings</t>
        </is>
      </c>
    </row>
    <row r="5">
      <c r="A5" s="16" t="inlineStr">
        <is>
          <t>STANDARD BUCKET COVERS</t>
        </is>
      </c>
    </row>
    <row r="6">
      <c r="A6" s="17" t="inlineStr">
        <is>
          <t>NU-BC-2828</t>
        </is>
      </c>
      <c r="B6" s="17" t="inlineStr">
        <is>
          <t>1-Man BC</t>
        </is>
      </c>
      <c r="C6" s="17" t="inlineStr">
        <is>
          <t>28"x28"</t>
        </is>
      </c>
      <c r="D6" s="18" t="n">
        <v>235</v>
      </c>
      <c r="E6" s="19" t="n">
        <v>195</v>
      </c>
      <c r="F6" s="20">
        <f>D6-E6</f>
        <v/>
      </c>
    </row>
    <row r="7">
      <c r="A7" s="21" t="inlineStr">
        <is>
          <t>NU-BC-2834</t>
        </is>
      </c>
      <c r="B7" s="21" t="inlineStr">
        <is>
          <t>1.5-Man BC</t>
        </is>
      </c>
      <c r="C7" s="21" t="inlineStr">
        <is>
          <t>28"x34"</t>
        </is>
      </c>
      <c r="D7" s="22" t="n">
        <v>265</v>
      </c>
      <c r="E7" s="23" t="n">
        <v>205</v>
      </c>
      <c r="F7" s="24">
        <f>D7-E7</f>
        <v/>
      </c>
    </row>
    <row r="8">
      <c r="A8" s="17" t="inlineStr">
        <is>
          <t>NU-BC-2842</t>
        </is>
      </c>
      <c r="B8" s="17" t="inlineStr">
        <is>
          <t>1.5-Man (Large) BC</t>
        </is>
      </c>
      <c r="C8" s="17" t="inlineStr">
        <is>
          <t>28"x42"</t>
        </is>
      </c>
      <c r="D8" s="18" t="n">
        <v>265</v>
      </c>
      <c r="E8" s="19" t="n">
        <v>210</v>
      </c>
      <c r="F8" s="20">
        <f>D8-E8</f>
        <v/>
      </c>
    </row>
    <row r="9">
      <c r="A9" s="21" t="inlineStr">
        <is>
          <t>NU-BC-2844</t>
        </is>
      </c>
      <c r="B9" s="21" t="inlineStr">
        <is>
          <t>1.5-Man BC (Specialty)</t>
        </is>
      </c>
      <c r="C9" s="21" t="inlineStr">
        <is>
          <t>28"x44"</t>
        </is>
      </c>
      <c r="D9" s="22" t="n">
        <v>295</v>
      </c>
      <c r="E9" s="23" t="n">
        <v>235</v>
      </c>
      <c r="F9" s="24">
        <f>D9-E9</f>
        <v/>
      </c>
    </row>
    <row r="10">
      <c r="A10" s="17" t="inlineStr">
        <is>
          <t>NU-BC-2851</t>
        </is>
      </c>
      <c r="B10" s="17" t="inlineStr">
        <is>
          <t>2-Man BC</t>
        </is>
      </c>
      <c r="C10" s="17" t="inlineStr">
        <is>
          <t>28"x51"</t>
        </is>
      </c>
      <c r="D10" s="18" t="n">
        <v>305</v>
      </c>
      <c r="E10" s="19" t="n">
        <v>235</v>
      </c>
      <c r="F10" s="20">
        <f>D10-E10</f>
        <v/>
      </c>
    </row>
    <row r="11">
      <c r="A11" s="16" t="inlineStr">
        <is>
          <t>UPPER CONTROL / ARCH / COMBOS</t>
        </is>
      </c>
    </row>
    <row r="12">
      <c r="A12" s="17" t="inlineStr">
        <is>
          <t>NU-BC-CC2834</t>
        </is>
      </c>
      <c r="B12" s="17" t="inlineStr">
        <is>
          <t>1.5-Man w/ Upper Control</t>
        </is>
      </c>
      <c r="C12" s="17" t="inlineStr">
        <is>
          <t>28"x34"</t>
        </is>
      </c>
      <c r="D12" s="18" t="n">
        <v>285</v>
      </c>
      <c r="E12" s="19" t="n">
        <v>225</v>
      </c>
      <c r="F12" s="20">
        <f>D12-E12</f>
        <v/>
      </c>
    </row>
    <row r="13">
      <c r="A13" s="21" t="inlineStr">
        <is>
          <t>NU-BC-2834-F</t>
        </is>
      </c>
      <c r="B13" s="21" t="inlineStr">
        <is>
          <t>ARCH 1.5-Man</t>
        </is>
      </c>
      <c r="C13" s="21" t="inlineStr">
        <is>
          <t>28"x34"</t>
        </is>
      </c>
      <c r="D13" s="22" t="n">
        <v>305</v>
      </c>
      <c r="E13" s="23" t="n">
        <v>245</v>
      </c>
      <c r="F13" s="24">
        <f>D13-E13</f>
        <v/>
      </c>
    </row>
    <row r="14">
      <c r="A14" s="17" t="inlineStr">
        <is>
          <t>NU-BC-2851-F</t>
        </is>
      </c>
      <c r="B14" s="17" t="inlineStr">
        <is>
          <t>ARCH 2-Man</t>
        </is>
      </c>
      <c r="C14" s="17" t="inlineStr">
        <is>
          <t>28"x51"</t>
        </is>
      </c>
      <c r="D14" s="18" t="n">
        <v>345</v>
      </c>
      <c r="E14" s="19" t="n">
        <v>275</v>
      </c>
      <c r="F14" s="20">
        <f>D14-E14</f>
        <v/>
      </c>
    </row>
    <row r="15">
      <c r="A15" s="21" t="inlineStr">
        <is>
          <t>NU-BC-2834-C</t>
        </is>
      </c>
      <c r="B15" s="21" t="inlineStr">
        <is>
          <t>1.5-Man + Shield Combo</t>
        </is>
      </c>
      <c r="C15" s="21" t="inlineStr">
        <is>
          <t>28"x34"</t>
        </is>
      </c>
      <c r="D15" s="22" t="n">
        <v>305</v>
      </c>
      <c r="E15" s="23" t="n">
        <v>245</v>
      </c>
      <c r="F15" s="24">
        <f>D15-E15</f>
        <v/>
      </c>
    </row>
    <row r="16">
      <c r="A16" s="17" t="inlineStr">
        <is>
          <t>NU-BC-2851-C</t>
        </is>
      </c>
      <c r="B16" s="17" t="inlineStr">
        <is>
          <t>2-Man + Shield Combo</t>
        </is>
      </c>
      <c r="C16" s="17" t="inlineStr">
        <is>
          <t>28"x51"</t>
        </is>
      </c>
      <c r="D16" s="18" t="n">
        <v>345</v>
      </c>
      <c r="E16" s="19" t="n">
        <v>275</v>
      </c>
      <c r="F16" s="20">
        <f>D16-E16</f>
        <v/>
      </c>
    </row>
    <row r="17">
      <c r="A17" s="21" t="inlineStr">
        <is>
          <t>NU-BC-2834-FC</t>
        </is>
      </c>
      <c r="B17" s="21" t="inlineStr">
        <is>
          <t>ARCH 1.5-Man + Shield</t>
        </is>
      </c>
      <c r="C17" s="21" t="inlineStr">
        <is>
          <t>28"x34"</t>
        </is>
      </c>
      <c r="D17" s="22" t="n">
        <v>345</v>
      </c>
      <c r="E17" s="23" t="n">
        <v>275</v>
      </c>
      <c r="F17" s="24">
        <f>D17-E17</f>
        <v/>
      </c>
    </row>
    <row r="18">
      <c r="A18" s="17" t="inlineStr">
        <is>
          <t>NU-BC-2851-FC</t>
        </is>
      </c>
      <c r="B18" s="17" t="inlineStr">
        <is>
          <t>ARCH 2-Man + Shield</t>
        </is>
      </c>
      <c r="C18" s="17" t="inlineStr">
        <is>
          <t>28"x51"</t>
        </is>
      </c>
      <c r="D18" s="18" t="n">
        <v>385</v>
      </c>
      <c r="E18" s="19" t="n">
        <v>305</v>
      </c>
      <c r="F18" s="20">
        <f>D18-E18</f>
        <v/>
      </c>
    </row>
    <row r="19">
      <c r="A19" s="16" t="inlineStr">
        <is>
          <t>D-SHAPE &amp; SPECIALTY</t>
        </is>
      </c>
    </row>
    <row r="20">
      <c r="A20" s="17" t="inlineStr">
        <is>
          <t>NU-BC-D4577</t>
        </is>
      </c>
      <c r="B20" s="17" t="inlineStr">
        <is>
          <t>D-Shape Transmission w/ Upper Control</t>
        </is>
      </c>
      <c r="C20" s="17" t="inlineStr">
        <is>
          <t>45"x77"</t>
        </is>
      </c>
      <c r="D20" s="18" t="n">
        <v>1050</v>
      </c>
      <c r="E20" s="19" t="n">
        <v>850</v>
      </c>
      <c r="F20" s="20">
        <f>D20-E20</f>
        <v/>
      </c>
    </row>
    <row r="21">
      <c r="A21" s="21" t="inlineStr">
        <is>
          <t>NU-BC-BY2828</t>
        </is>
      </c>
      <c r="B21" s="21" t="inlineStr">
        <is>
          <t>SDP Pin-On w/ Bracket Relief</t>
        </is>
      </c>
      <c r="C21" s="21" t="inlineStr">
        <is>
          <t>28"x28"</t>
        </is>
      </c>
      <c r="D21" s="22" t="n">
        <v>275</v>
      </c>
      <c r="E21" s="23" t="n">
        <v>225</v>
      </c>
      <c r="F21" s="24">
        <f>D21-E21</f>
        <v/>
      </c>
    </row>
    <row r="22">
      <c r="A22" s="17" t="inlineStr">
        <is>
          <t>NU-BC-2945-EPBC</t>
        </is>
      </c>
      <c r="B22" s="17" t="inlineStr">
        <is>
          <t>EPBC ETI BC</t>
        </is>
      </c>
      <c r="C22" s="17" t="inlineStr">
        <is>
          <t>29"x45"</t>
        </is>
      </c>
      <c r="D22" s="18" t="n">
        <v>325</v>
      </c>
      <c r="E22" s="19" t="n">
        <v>265</v>
      </c>
      <c r="F22" s="20">
        <f>D22-E22</f>
        <v/>
      </c>
    </row>
    <row r="23">
      <c r="A23" s="21" t="inlineStr">
        <is>
          <t>TC-6060</t>
        </is>
      </c>
      <c r="B23" s="21" t="inlineStr">
        <is>
          <t>Test Tank Cover</t>
        </is>
      </c>
      <c r="C23" s="21" t="inlineStr">
        <is>
          <t>60"x60"</t>
        </is>
      </c>
      <c r="D23" s="22" t="n">
        <v>1100</v>
      </c>
      <c r="E23" s="23" t="n">
        <v>895</v>
      </c>
      <c r="F23" s="24">
        <f>D23-E23</f>
        <v/>
      </c>
    </row>
    <row r="24">
      <c r="A24" s="16" t="inlineStr">
        <is>
          <t>SHIELDS / DIRT TARPS / OTHER</t>
        </is>
      </c>
    </row>
    <row r="25">
      <c r="A25" s="17" t="inlineStr">
        <is>
          <t>NU-BCB-2834-SL</t>
        </is>
      </c>
      <c r="B25" s="17" t="inlineStr">
        <is>
          <t>1.5-Man Shield</t>
        </is>
      </c>
      <c r="C25" s="17" t="inlineStr">
        <is>
          <t>28"x34"</t>
        </is>
      </c>
      <c r="D25" s="18" t="n">
        <v>45</v>
      </c>
      <c r="E25" s="19" t="n">
        <v>38</v>
      </c>
      <c r="F25" s="20">
        <f>D25-E25</f>
        <v/>
      </c>
    </row>
    <row r="26">
      <c r="A26" s="21" t="inlineStr">
        <is>
          <t>NU-BCB-2851-SL</t>
        </is>
      </c>
      <c r="B26" s="21" t="inlineStr">
        <is>
          <t>2-Man Shield</t>
        </is>
      </c>
      <c r="C26" s="21" t="inlineStr">
        <is>
          <t>28"x51"</t>
        </is>
      </c>
      <c r="D26" s="22" t="n">
        <v>55</v>
      </c>
      <c r="E26" s="23" t="n">
        <v>45</v>
      </c>
      <c r="F26" s="24">
        <f>D26-E26</f>
        <v/>
      </c>
    </row>
    <row r="27">
      <c r="A27" s="17" t="inlineStr">
        <is>
          <t>DS-9696</t>
        </is>
      </c>
      <c r="B27" s="17" t="inlineStr">
        <is>
          <t>Dirt Tarp 8'x8'</t>
        </is>
      </c>
      <c r="C27" s="17" t="inlineStr">
        <is>
          <t>96"x96"</t>
        </is>
      </c>
      <c r="D27" s="18" t="n">
        <v>450</v>
      </c>
      <c r="E27" s="19" t="n">
        <v>365</v>
      </c>
      <c r="F27" s="20">
        <f>D27-E27</f>
        <v/>
      </c>
    </row>
    <row r="28">
      <c r="A28" s="21" t="inlineStr">
        <is>
          <t>DS-9696-R</t>
        </is>
      </c>
      <c r="B28" s="21" t="inlineStr">
        <is>
          <t>Dirt Tarp 8'x8' Reinforced</t>
        </is>
      </c>
      <c r="C28" s="21" t="inlineStr">
        <is>
          <t>96"x96"</t>
        </is>
      </c>
      <c r="D28" s="22" t="n">
        <v>510</v>
      </c>
      <c r="E28" s="23" t="n">
        <v>415</v>
      </c>
      <c r="F28" s="24">
        <f>D28-E28</f>
        <v/>
      </c>
    </row>
    <row r="29">
      <c r="A29" s="17" t="inlineStr">
        <is>
          <t>DS-9696-L</t>
        </is>
      </c>
      <c r="B29" s="17" t="inlineStr">
        <is>
          <t>Dirt Tarp 8'x8' Light</t>
        </is>
      </c>
      <c r="C29" s="17" t="inlineStr">
        <is>
          <t>96"x96"</t>
        </is>
      </c>
      <c r="D29" s="18" t="n">
        <v>250</v>
      </c>
      <c r="E29" s="19" t="n">
        <v>205</v>
      </c>
      <c r="F29" s="20">
        <f>D29-E29</f>
        <v/>
      </c>
    </row>
    <row r="30">
      <c r="A30" s="21" t="inlineStr">
        <is>
          <t>DS-120120</t>
        </is>
      </c>
      <c r="B30" s="21" t="inlineStr">
        <is>
          <t>Dirt Tarp 10'x10'</t>
        </is>
      </c>
      <c r="C30" s="21" t="inlineStr">
        <is>
          <t>120"x120"</t>
        </is>
      </c>
      <c r="D30" s="22" t="n">
        <v>550</v>
      </c>
      <c r="E30" s="23" t="n">
        <v>445</v>
      </c>
      <c r="F30" s="24">
        <f>D30-E30</f>
        <v/>
      </c>
    </row>
    <row r="31">
      <c r="A31" s="17" t="inlineStr">
        <is>
          <t>DS-9696-PN</t>
        </is>
      </c>
      <c r="B31" s="17" t="inlineStr">
        <is>
          <t>Pole Notch Dirt Tarp</t>
        </is>
      </c>
      <c r="C31" s="17" t="inlineStr">
        <is>
          <t>96"x96"</t>
        </is>
      </c>
      <c r="D31" s="18" t="n">
        <v>515</v>
      </c>
      <c r="E31" s="19" t="n">
        <v>415</v>
      </c>
      <c r="F31" s="20">
        <f>D31-E31</f>
        <v/>
      </c>
    </row>
    <row r="32">
      <c r="A32" s="21" t="inlineStr">
        <is>
          <t>NU-TB2524-M</t>
        </is>
      </c>
      <c r="B32" s="21" t="inlineStr">
        <is>
          <t>Magnetic Tool Board</t>
        </is>
      </c>
      <c r="C32" s="21" t="inlineStr">
        <is>
          <t>25"x24"</t>
        </is>
      </c>
      <c r="D32" s="22" t="n">
        <v>195</v>
      </c>
      <c r="E32" s="23" t="n">
        <v>160</v>
      </c>
      <c r="F32" s="24">
        <f>D32-E32</f>
        <v/>
      </c>
    </row>
    <row r="33">
      <c r="A33" s="17" t="inlineStr">
        <is>
          <t>PJA-3-30</t>
        </is>
      </c>
      <c r="B33" s="17" t="inlineStr">
        <is>
          <t>Pole Jacking Assembly</t>
        </is>
      </c>
      <c r="C33" s="17" t="inlineStr">
        <is>
          <t>—</t>
        </is>
      </c>
      <c r="D33" s="18" t="n">
        <v>2000</v>
      </c>
      <c r="E33" s="19" t="n">
        <v>1650</v>
      </c>
      <c r="F33" s="20">
        <f>D33-E33</f>
        <v/>
      </c>
    </row>
  </sheetData>
  <mergeCells count="6">
    <mergeCell ref="A24:F24"/>
    <mergeCell ref="A2:F2"/>
    <mergeCell ref="A11:F11"/>
    <mergeCell ref="A19:F19"/>
    <mergeCell ref="A1:F1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6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4" t="inlineStr">
        <is>
          <t>INTERNAL — Complete Product Master with Costs &amp; Margins</t>
        </is>
      </c>
    </row>
    <row r="3">
      <c r="A3" s="25" t="inlineStr">
        <is>
          <t>P/N</t>
        </is>
      </c>
      <c r="B3" s="25" t="inlineStr">
        <is>
          <t>Product</t>
        </is>
      </c>
      <c r="C3" s="25" t="inlineStr">
        <is>
          <t>Size</t>
        </is>
      </c>
      <c r="D3" s="25" t="inlineStr">
        <is>
          <t>Type</t>
        </is>
      </c>
      <c r="E3" s="25" t="inlineStr">
        <is>
          <t>Cost</t>
        </is>
      </c>
      <c r="F3" s="25" t="inlineStr">
        <is>
          <t>Direct</t>
        </is>
      </c>
      <c r="G3" s="25" t="inlineStr">
        <is>
          <t>Dealer</t>
        </is>
      </c>
      <c r="H3" s="25" t="inlineStr">
        <is>
          <t>Direct Margin</t>
        </is>
      </c>
      <c r="I3" s="25" t="inlineStr">
        <is>
          <t>Dealer Margin</t>
        </is>
      </c>
    </row>
    <row r="4">
      <c r="A4" s="4" t="inlineStr">
        <is>
          <t>STANDARD BUCKET COVERS</t>
        </is>
      </c>
    </row>
    <row r="5">
      <c r="A5" s="17" t="inlineStr">
        <is>
          <t>NU-BC-2828</t>
        </is>
      </c>
      <c r="B5" s="17" t="inlineStr">
        <is>
          <t>1-Man BC</t>
        </is>
      </c>
      <c r="C5" s="17" t="inlineStr">
        <is>
          <t>28"x28"</t>
        </is>
      </c>
      <c r="D5" s="17" t="inlineStr">
        <is>
          <t>Inv</t>
        </is>
      </c>
      <c r="E5" s="26" t="n">
        <v>89</v>
      </c>
      <c r="F5" s="26" t="n">
        <v>235</v>
      </c>
      <c r="G5" s="26" t="n">
        <v>195</v>
      </c>
      <c r="H5" s="27">
        <f>(F5-E5)/F5</f>
        <v/>
      </c>
      <c r="I5" s="27">
        <f>(G5-E5)/G5</f>
        <v/>
      </c>
    </row>
    <row r="6">
      <c r="A6" s="28" t="inlineStr">
        <is>
          <t>NU-BC-2834</t>
        </is>
      </c>
      <c r="B6" s="28" t="inlineStr">
        <is>
          <t>1.5-Man BC</t>
        </is>
      </c>
      <c r="C6" s="28" t="inlineStr">
        <is>
          <t>28"x34"</t>
        </is>
      </c>
      <c r="D6" s="28" t="inlineStr">
        <is>
          <t>Inv</t>
        </is>
      </c>
      <c r="E6" s="29" t="n">
        <v>97</v>
      </c>
      <c r="F6" s="29" t="n">
        <v>265</v>
      </c>
      <c r="G6" s="29" t="n">
        <v>205</v>
      </c>
      <c r="H6" s="30">
        <f>(F6-E6)/F6</f>
        <v/>
      </c>
      <c r="I6" s="30">
        <f>(G6-E6)/G6</f>
        <v/>
      </c>
    </row>
    <row r="7">
      <c r="A7" s="17" t="inlineStr">
        <is>
          <t>NU-BC-2842</t>
        </is>
      </c>
      <c r="B7" s="17" t="inlineStr">
        <is>
          <t>1.5-Man (Large) BC</t>
        </is>
      </c>
      <c r="C7" s="17" t="inlineStr">
        <is>
          <t>28"x42"</t>
        </is>
      </c>
      <c r="D7" s="17" t="inlineStr">
        <is>
          <t>Inv</t>
        </is>
      </c>
      <c r="E7" s="26" t="n">
        <v>101.5</v>
      </c>
      <c r="F7" s="26" t="n">
        <v>265</v>
      </c>
      <c r="G7" s="26" t="n">
        <v>210</v>
      </c>
      <c r="H7" s="27">
        <f>(F7-E7)/F7</f>
        <v/>
      </c>
      <c r="I7" s="27">
        <f>(G7-E7)/G7</f>
        <v/>
      </c>
    </row>
    <row r="8">
      <c r="A8" s="28" t="inlineStr">
        <is>
          <t>NU-BC-2844</t>
        </is>
      </c>
      <c r="B8" s="28" t="inlineStr">
        <is>
          <t>1.5-Man BC (Specialty)</t>
        </is>
      </c>
      <c r="C8" s="28" t="inlineStr">
        <is>
          <t>28"x44"</t>
        </is>
      </c>
      <c r="D8" s="28" t="inlineStr">
        <is>
          <t>Inv</t>
        </is>
      </c>
      <c r="E8" s="29" t="n">
        <v>125</v>
      </c>
      <c r="F8" s="29" t="n">
        <v>295</v>
      </c>
      <c r="G8" s="29" t="n">
        <v>235</v>
      </c>
      <c r="H8" s="30">
        <f>(F8-E8)/F8</f>
        <v/>
      </c>
      <c r="I8" s="30">
        <f>(G8-E8)/G8</f>
        <v/>
      </c>
    </row>
    <row r="9">
      <c r="A9" s="17" t="inlineStr">
        <is>
          <t>NU-BC-2851</t>
        </is>
      </c>
      <c r="B9" s="17" t="inlineStr">
        <is>
          <t>2-Man BC</t>
        </is>
      </c>
      <c r="C9" s="17" t="inlineStr">
        <is>
          <t>28"x51"</t>
        </is>
      </c>
      <c r="D9" s="17" t="inlineStr">
        <is>
          <t>Inv</t>
        </is>
      </c>
      <c r="E9" s="26" t="n">
        <v>112</v>
      </c>
      <c r="F9" s="26" t="n">
        <v>305</v>
      </c>
      <c r="G9" s="26" t="n">
        <v>235</v>
      </c>
      <c r="H9" s="27">
        <f>(F9-E9)/F9</f>
        <v/>
      </c>
      <c r="I9" s="27">
        <f>(G9-E9)/G9</f>
        <v/>
      </c>
    </row>
    <row r="10">
      <c r="A10" s="4" t="inlineStr">
        <is>
          <t>UPPER CONTROL / ARCH / COMBOS</t>
        </is>
      </c>
    </row>
    <row r="11">
      <c r="A11" s="17" t="inlineStr">
        <is>
          <t>NU-BC-CC2834</t>
        </is>
      </c>
      <c r="B11" s="17" t="inlineStr">
        <is>
          <t>1.5-Man w/ Upper Control</t>
        </is>
      </c>
      <c r="C11" s="17" t="inlineStr">
        <is>
          <t>28"x34"</t>
        </is>
      </c>
      <c r="D11" s="17" t="inlineStr">
        <is>
          <t>Inv</t>
        </is>
      </c>
      <c r="E11" s="26" t="n">
        <v>109.5</v>
      </c>
      <c r="F11" s="26" t="n">
        <v>285</v>
      </c>
      <c r="G11" s="26" t="n">
        <v>225</v>
      </c>
      <c r="H11" s="27">
        <f>(F11-E11)/F11</f>
        <v/>
      </c>
      <c r="I11" s="27">
        <f>(G11-E11)/G11</f>
        <v/>
      </c>
    </row>
    <row r="12">
      <c r="A12" s="28" t="inlineStr">
        <is>
          <t>NU-BC-CC2834G</t>
        </is>
      </c>
      <c r="B12" s="28" t="inlineStr">
        <is>
          <t>1.5-Man Upper Control V2 (AT40G)</t>
        </is>
      </c>
      <c r="C12" s="28" t="inlineStr">
        <is>
          <t>28"x34"</t>
        </is>
      </c>
      <c r="D12" s="28" t="inlineStr">
        <is>
          <t>Inv</t>
        </is>
      </c>
      <c r="E12" s="29" t="n">
        <v>108</v>
      </c>
      <c r="F12" s="29" t="n">
        <v>230</v>
      </c>
      <c r="G12" s="28" t="n"/>
      <c r="H12" s="30">
        <f>(F12-E12)/F12</f>
        <v/>
      </c>
    </row>
    <row r="13">
      <c r="A13" s="17" t="inlineStr">
        <is>
          <t>NU-BC-2834-F</t>
        </is>
      </c>
      <c r="B13" s="17" t="inlineStr">
        <is>
          <t>ARCH 1.5-Man</t>
        </is>
      </c>
      <c r="C13" s="17" t="inlineStr">
        <is>
          <t>28"x34"</t>
        </is>
      </c>
      <c r="D13" s="17" t="inlineStr">
        <is>
          <t>Inv</t>
        </is>
      </c>
      <c r="E13" s="26" t="n">
        <v>104</v>
      </c>
      <c r="F13" s="26" t="n">
        <v>305</v>
      </c>
      <c r="G13" s="26" t="n">
        <v>245</v>
      </c>
      <c r="H13" s="27">
        <f>(F13-E13)/F13</f>
        <v/>
      </c>
      <c r="I13" s="27">
        <f>(G13-E13)/G13</f>
        <v/>
      </c>
    </row>
    <row r="14">
      <c r="A14" s="28" t="inlineStr">
        <is>
          <t>NU-BC-2851-F</t>
        </is>
      </c>
      <c r="B14" s="28" t="inlineStr">
        <is>
          <t>ARCH 2-Man</t>
        </is>
      </c>
      <c r="C14" s="28" t="inlineStr">
        <is>
          <t>28"x51"</t>
        </is>
      </c>
      <c r="D14" s="28" t="inlineStr">
        <is>
          <t>Inv</t>
        </is>
      </c>
      <c r="E14" s="29" t="n">
        <v>120</v>
      </c>
      <c r="F14" s="29" t="n">
        <v>345</v>
      </c>
      <c r="G14" s="29" t="n">
        <v>275</v>
      </c>
      <c r="H14" s="30">
        <f>(F14-E14)/F14</f>
        <v/>
      </c>
      <c r="I14" s="30">
        <f>(G14-E14)/G14</f>
        <v/>
      </c>
    </row>
    <row r="15">
      <c r="A15" s="17" t="inlineStr">
        <is>
          <t>NU-BC-2834-C</t>
        </is>
      </c>
      <c r="B15" s="17" t="inlineStr">
        <is>
          <t>1.5-Man + Shield Combo</t>
        </is>
      </c>
      <c r="C15" s="17" t="inlineStr">
        <is>
          <t>28"x34"</t>
        </is>
      </c>
      <c r="D15" s="17" t="inlineStr">
        <is>
          <t>Inv</t>
        </is>
      </c>
      <c r="E15" s="26" t="n">
        <v>120.5</v>
      </c>
      <c r="F15" s="26" t="n">
        <v>305</v>
      </c>
      <c r="G15" s="26" t="n">
        <v>245</v>
      </c>
      <c r="H15" s="27">
        <f>(F15-E15)/F15</f>
        <v/>
      </c>
      <c r="I15" s="27">
        <f>(G15-E15)/G15</f>
        <v/>
      </c>
    </row>
    <row r="16">
      <c r="A16" s="28" t="inlineStr">
        <is>
          <t>NU-BC-2851-C</t>
        </is>
      </c>
      <c r="B16" s="28" t="inlineStr">
        <is>
          <t>2-Man + Shield Combo</t>
        </is>
      </c>
      <c r="C16" s="28" t="inlineStr">
        <is>
          <t>28"x51"</t>
        </is>
      </c>
      <c r="D16" s="28" t="inlineStr">
        <is>
          <t>Inv</t>
        </is>
      </c>
      <c r="E16" s="29" t="n">
        <v>137.5</v>
      </c>
      <c r="F16" s="29" t="n">
        <v>345</v>
      </c>
      <c r="G16" s="29" t="n">
        <v>275</v>
      </c>
      <c r="H16" s="30">
        <f>(F16-E16)/F16</f>
        <v/>
      </c>
      <c r="I16" s="30">
        <f>(G16-E16)/G16</f>
        <v/>
      </c>
    </row>
    <row r="17">
      <c r="A17" s="17" t="inlineStr">
        <is>
          <t>NU-BC-2834-FC</t>
        </is>
      </c>
      <c r="B17" s="17" t="inlineStr">
        <is>
          <t>ARCH 1.5-Man + Shield</t>
        </is>
      </c>
      <c r="C17" s="17" t="inlineStr">
        <is>
          <t>28"x34"</t>
        </is>
      </c>
      <c r="D17" s="17" t="inlineStr">
        <is>
          <t>Inv</t>
        </is>
      </c>
      <c r="E17" s="26" t="n">
        <v>127.5</v>
      </c>
      <c r="F17" s="26" t="n">
        <v>345</v>
      </c>
      <c r="G17" s="26" t="n">
        <v>275</v>
      </c>
      <c r="H17" s="27">
        <f>(F17-E17)/F17</f>
        <v/>
      </c>
      <c r="I17" s="27">
        <f>(G17-E17)/G17</f>
        <v/>
      </c>
    </row>
    <row r="18">
      <c r="A18" s="28" t="inlineStr">
        <is>
          <t>NU-BC-2851-FC</t>
        </is>
      </c>
      <c r="B18" s="28" t="inlineStr">
        <is>
          <t>ARCH 2-Man + Shield</t>
        </is>
      </c>
      <c r="C18" s="28" t="inlineStr">
        <is>
          <t>28"x51"</t>
        </is>
      </c>
      <c r="D18" s="28" t="inlineStr">
        <is>
          <t>Inv</t>
        </is>
      </c>
      <c r="E18" s="29" t="n">
        <v>145.5</v>
      </c>
      <c r="F18" s="29" t="n">
        <v>385</v>
      </c>
      <c r="G18" s="29" t="n">
        <v>305</v>
      </c>
      <c r="H18" s="30">
        <f>(F18-E18)/F18</f>
        <v/>
      </c>
      <c r="I18" s="30">
        <f>(G18-E18)/G18</f>
        <v/>
      </c>
    </row>
    <row r="19">
      <c r="A19" s="4" t="inlineStr">
        <is>
          <t>D-SHAPE &amp; SPECIALTY</t>
        </is>
      </c>
    </row>
    <row r="20">
      <c r="A20" s="17" t="inlineStr">
        <is>
          <t>NU-BC-D4577</t>
        </is>
      </c>
      <c r="B20" s="17" t="inlineStr">
        <is>
          <t>D-Shape Transmission</t>
        </is>
      </c>
      <c r="C20" s="17" t="inlineStr">
        <is>
          <t>45"x77"</t>
        </is>
      </c>
      <c r="D20" s="17" t="inlineStr">
        <is>
          <t>Inv</t>
        </is>
      </c>
      <c r="E20" s="26" t="n">
        <v>176.5</v>
      </c>
      <c r="F20" s="26" t="n">
        <v>1050</v>
      </c>
      <c r="G20" s="26" t="n">
        <v>850</v>
      </c>
      <c r="H20" s="27">
        <f>(F20-E20)/F20</f>
        <v/>
      </c>
      <c r="I20" s="27">
        <f>(G20-E20)/G20</f>
        <v/>
      </c>
    </row>
    <row r="21">
      <c r="A21" s="28" t="inlineStr">
        <is>
          <t>NU-BC-D4577-MSP</t>
        </is>
      </c>
      <c r="B21" s="28" t="inlineStr">
        <is>
          <t>D-Shape MSP Spec</t>
        </is>
      </c>
      <c r="C21" s="28" t="inlineStr">
        <is>
          <t>45"x77"</t>
        </is>
      </c>
      <c r="D21" s="28" t="inlineStr">
        <is>
          <t>Inv</t>
        </is>
      </c>
      <c r="E21" s="29" t="n">
        <v>216.5</v>
      </c>
      <c r="F21" s="29" t="n">
        <v>1100</v>
      </c>
      <c r="G21" s="28" t="n"/>
      <c r="H21" s="30">
        <f>(F21-E21)/F21</f>
        <v/>
      </c>
    </row>
    <row r="22">
      <c r="A22" s="17" t="inlineStr">
        <is>
          <t>NU-BC-BY2828</t>
        </is>
      </c>
      <c r="B22" s="17" t="inlineStr">
        <is>
          <t>SDP Pin-On</t>
        </is>
      </c>
      <c r="C22" s="17" t="inlineStr">
        <is>
          <t>28"x28"</t>
        </is>
      </c>
      <c r="D22" s="17" t="inlineStr">
        <is>
          <t>Inv</t>
        </is>
      </c>
      <c r="E22" s="26" t="n">
        <v>89</v>
      </c>
      <c r="F22" s="26" t="n">
        <v>275</v>
      </c>
      <c r="G22" s="26" t="n">
        <v>225</v>
      </c>
      <c r="H22" s="27">
        <f>(F22-E22)/F22</f>
        <v/>
      </c>
      <c r="I22" s="27">
        <f>(G22-E22)/G22</f>
        <v/>
      </c>
    </row>
    <row r="23">
      <c r="A23" s="28" t="inlineStr">
        <is>
          <t>NU-BC-2945-EPBC</t>
        </is>
      </c>
      <c r="B23" s="28" t="inlineStr">
        <is>
          <t>EPBC ETI BC</t>
        </is>
      </c>
      <c r="C23" s="28" t="inlineStr">
        <is>
          <t>29"x45"</t>
        </is>
      </c>
      <c r="D23" s="28" t="inlineStr">
        <is>
          <t>Inv</t>
        </is>
      </c>
      <c r="E23" s="29" t="n">
        <v>117.7</v>
      </c>
      <c r="F23" s="29" t="n">
        <v>325</v>
      </c>
      <c r="G23" s="29" t="n">
        <v>265</v>
      </c>
      <c r="H23" s="30">
        <f>(F23-E23)/F23</f>
        <v/>
      </c>
      <c r="I23" s="30">
        <f>(G23-E23)/G23</f>
        <v/>
      </c>
    </row>
    <row r="24">
      <c r="A24" s="17" t="inlineStr">
        <is>
          <t>TC-6060</t>
        </is>
      </c>
      <c r="B24" s="17" t="inlineStr">
        <is>
          <t>Test Tank Cover</t>
        </is>
      </c>
      <c r="C24" s="17" t="inlineStr">
        <is>
          <t>60"x60"</t>
        </is>
      </c>
      <c r="D24" s="17" t="inlineStr">
        <is>
          <t>Inv</t>
        </is>
      </c>
      <c r="E24" s="26" t="n">
        <v>195.5</v>
      </c>
      <c r="F24" s="26" t="n">
        <v>1100</v>
      </c>
      <c r="G24" s="26" t="n">
        <v>895</v>
      </c>
      <c r="H24" s="27">
        <f>(F24-E24)/F24</f>
        <v/>
      </c>
      <c r="I24" s="27">
        <f>(G24-E24)/G24</f>
        <v/>
      </c>
    </row>
    <row r="25">
      <c r="A25" s="4" t="inlineStr">
        <is>
          <t>SHIELDS</t>
        </is>
      </c>
    </row>
    <row r="26">
      <c r="A26" s="17" t="inlineStr">
        <is>
          <t>NU-BCB-2834-S</t>
        </is>
      </c>
      <c r="B26" s="17" t="inlineStr">
        <is>
          <t>1.5-Man Shield w/ Snap</t>
        </is>
      </c>
      <c r="C26" s="17" t="inlineStr">
        <is>
          <t>28"x34"</t>
        </is>
      </c>
      <c r="D26" s="17" t="inlineStr">
        <is>
          <t>Inv</t>
        </is>
      </c>
      <c r="E26" s="26" t="n">
        <v>23.5</v>
      </c>
      <c r="F26" s="26" t="n">
        <v>40</v>
      </c>
      <c r="G26" s="17" t="n"/>
      <c r="H26" s="27">
        <f>(F26-E26)/F26</f>
        <v/>
      </c>
    </row>
    <row r="27">
      <c r="A27" s="28" t="inlineStr">
        <is>
          <t>NU-BCB-2834-SL</t>
        </is>
      </c>
      <c r="B27" s="28" t="inlineStr">
        <is>
          <t>1.5-Man Shield w/ Snap &amp; Lanyard</t>
        </is>
      </c>
      <c r="C27" s="28" t="inlineStr">
        <is>
          <t>28"x34"</t>
        </is>
      </c>
      <c r="D27" s="28" t="inlineStr">
        <is>
          <t>Inv</t>
        </is>
      </c>
      <c r="E27" s="29" t="n">
        <v>23</v>
      </c>
      <c r="F27" s="29" t="n">
        <v>45</v>
      </c>
      <c r="G27" s="29" t="n">
        <v>38</v>
      </c>
      <c r="H27" s="30">
        <f>(F27-E27)/F27</f>
        <v/>
      </c>
      <c r="I27" s="30">
        <f>(G27-E27)/G27</f>
        <v/>
      </c>
    </row>
    <row r="28">
      <c r="A28" s="17" t="inlineStr">
        <is>
          <t>NU-BCB-2851-S</t>
        </is>
      </c>
      <c r="B28" s="17" t="inlineStr">
        <is>
          <t>2-Man Shield w/ Snap</t>
        </is>
      </c>
      <c r="C28" s="17" t="inlineStr">
        <is>
          <t>28"x51"</t>
        </is>
      </c>
      <c r="D28" s="17" t="inlineStr">
        <is>
          <t>Inv</t>
        </is>
      </c>
      <c r="E28" s="26" t="n">
        <v>25.5</v>
      </c>
      <c r="F28" s="26" t="n">
        <v>50</v>
      </c>
      <c r="G28" s="17" t="n"/>
      <c r="H28" s="27">
        <f>(F28-E28)/F28</f>
        <v/>
      </c>
    </row>
    <row r="29">
      <c r="A29" s="28" t="inlineStr">
        <is>
          <t>NU-BCB-2851-SL</t>
        </is>
      </c>
      <c r="B29" s="28" t="inlineStr">
        <is>
          <t>2-Man Shield w/ Snap &amp; Lanyard</t>
        </is>
      </c>
      <c r="C29" s="28" t="inlineStr">
        <is>
          <t>28"x51"</t>
        </is>
      </c>
      <c r="D29" s="28" t="inlineStr">
        <is>
          <t>Inv</t>
        </is>
      </c>
      <c r="E29" s="29" t="n">
        <v>25</v>
      </c>
      <c r="F29" s="29" t="n">
        <v>55</v>
      </c>
      <c r="G29" s="29" t="n">
        <v>45</v>
      </c>
      <c r="H29" s="30">
        <f>(F29-E29)/F29</f>
        <v/>
      </c>
      <c r="I29" s="30">
        <f>(G29-E29)/G29</f>
        <v/>
      </c>
    </row>
    <row r="30">
      <c r="A30" s="4" t="inlineStr">
        <is>
          <t>DIRT TARPS</t>
        </is>
      </c>
    </row>
    <row r="31">
      <c r="A31" s="17" t="inlineStr">
        <is>
          <t>DS-9696</t>
        </is>
      </c>
      <c r="B31" s="17" t="inlineStr">
        <is>
          <t>Dirt Tarp 8'x8'</t>
        </is>
      </c>
      <c r="C31" s="17" t="inlineStr">
        <is>
          <t>96"x96"</t>
        </is>
      </c>
      <c r="D31" s="17" t="inlineStr">
        <is>
          <t>Inv</t>
        </is>
      </c>
      <c r="E31" s="26" t="n">
        <v>226.5</v>
      </c>
      <c r="F31" s="26" t="n">
        <v>450</v>
      </c>
      <c r="G31" s="26" t="n">
        <v>365</v>
      </c>
      <c r="H31" s="27">
        <f>(F31-E31)/F31</f>
        <v/>
      </c>
      <c r="I31" s="27">
        <f>(G31-E31)/G31</f>
        <v/>
      </c>
    </row>
    <row r="32">
      <c r="A32" s="28" t="inlineStr">
        <is>
          <t>DS-9696-R</t>
        </is>
      </c>
      <c r="B32" s="28" t="inlineStr">
        <is>
          <t>Dirt Tarp 8'x8' Reinforced</t>
        </is>
      </c>
      <c r="C32" s="28" t="inlineStr">
        <is>
          <t>96"x96"</t>
        </is>
      </c>
      <c r="D32" s="28" t="inlineStr">
        <is>
          <t>Non</t>
        </is>
      </c>
      <c r="E32" s="29" t="n">
        <v>246.5</v>
      </c>
      <c r="F32" s="29" t="n">
        <v>510</v>
      </c>
      <c r="G32" s="29" t="n">
        <v>415</v>
      </c>
      <c r="H32" s="30">
        <f>(F32-E32)/F32</f>
        <v/>
      </c>
      <c r="I32" s="30">
        <f>(G32-E32)/G32</f>
        <v/>
      </c>
    </row>
    <row r="33">
      <c r="A33" s="17" t="inlineStr">
        <is>
          <t>DS-9696-L</t>
        </is>
      </c>
      <c r="B33" s="17" t="inlineStr">
        <is>
          <t>Dirt Tarp 8'x8' Light</t>
        </is>
      </c>
      <c r="C33" s="17" t="inlineStr">
        <is>
          <t>96"x96"</t>
        </is>
      </c>
      <c r="D33" s="17" t="inlineStr">
        <is>
          <t>Inv</t>
        </is>
      </c>
      <c r="E33" s="26" t="n">
        <v>126</v>
      </c>
      <c r="F33" s="26" t="n">
        <v>250</v>
      </c>
      <c r="G33" s="26" t="n">
        <v>205</v>
      </c>
      <c r="H33" s="27">
        <f>(F33-E33)/F33</f>
        <v/>
      </c>
      <c r="I33" s="27">
        <f>(G33-E33)/G33</f>
        <v/>
      </c>
    </row>
    <row r="34">
      <c r="A34" s="28" t="inlineStr">
        <is>
          <t>DS-120120</t>
        </is>
      </c>
      <c r="B34" s="28" t="inlineStr">
        <is>
          <t>Dirt Tarp 10'x10'</t>
        </is>
      </c>
      <c r="C34" s="28" t="inlineStr">
        <is>
          <t>120"x120"</t>
        </is>
      </c>
      <c r="D34" s="28" t="inlineStr">
        <is>
          <t>Inv</t>
        </is>
      </c>
      <c r="E34" s="29" t="n">
        <v>292</v>
      </c>
      <c r="F34" s="29" t="n">
        <v>550</v>
      </c>
      <c r="G34" s="29" t="n">
        <v>445</v>
      </c>
      <c r="H34" s="30">
        <f>(F34-E34)/F34</f>
        <v/>
      </c>
      <c r="I34" s="30">
        <f>(G34-E34)/G34</f>
        <v/>
      </c>
    </row>
    <row r="35">
      <c r="A35" s="17" t="inlineStr">
        <is>
          <t>DS-9696-PN</t>
        </is>
      </c>
      <c r="B35" s="17" t="inlineStr">
        <is>
          <t>Pole Notch Dirt Tarp</t>
        </is>
      </c>
      <c r="C35" s="17" t="inlineStr">
        <is>
          <t>96"x96"</t>
        </is>
      </c>
      <c r="D35" s="17" t="inlineStr">
        <is>
          <t>Non</t>
        </is>
      </c>
      <c r="E35" s="26" t="n">
        <v>304</v>
      </c>
      <c r="F35" s="26" t="n">
        <v>515</v>
      </c>
      <c r="G35" s="26" t="n">
        <v>415</v>
      </c>
      <c r="H35" s="27">
        <f>(F35-E35)/F35</f>
        <v/>
      </c>
      <c r="I35" s="27">
        <f>(G35-E35)/G35</f>
        <v/>
      </c>
    </row>
    <row r="36">
      <c r="A36" s="4" t="inlineStr">
        <is>
          <t>OTHER / SOFT / TEREX</t>
        </is>
      </c>
    </row>
    <row r="37">
      <c r="A37" s="17" t="inlineStr">
        <is>
          <t>NU-TB2524-M</t>
        </is>
      </c>
      <c r="B37" s="17" t="inlineStr">
        <is>
          <t>Magnetic Tool Board</t>
        </is>
      </c>
      <c r="C37" s="17" t="inlineStr">
        <is>
          <t>25"x24"</t>
        </is>
      </c>
      <c r="D37" s="17" t="inlineStr">
        <is>
          <t>Inv</t>
        </is>
      </c>
      <c r="E37" s="26" t="n">
        <v>121.5</v>
      </c>
      <c r="F37" s="26" t="n">
        <v>195</v>
      </c>
      <c r="G37" s="26" t="n">
        <v>160</v>
      </c>
      <c r="H37" s="27">
        <f>(F37-E37)/F37</f>
        <v/>
      </c>
      <c r="I37" s="27">
        <f>(G37-E37)/G37</f>
        <v/>
      </c>
    </row>
    <row r="38">
      <c r="A38" s="28" t="inlineStr">
        <is>
          <t>AC-GB1512</t>
        </is>
      </c>
      <c r="B38" s="28" t="inlineStr">
        <is>
          <t>Grunt Bag / Nose Bag</t>
        </is>
      </c>
      <c r="C38" s="28" t="inlineStr">
        <is>
          <t>15"x12"</t>
        </is>
      </c>
      <c r="D38" s="28" t="inlineStr">
        <is>
          <t>Non</t>
        </is>
      </c>
      <c r="E38" s="29" t="n">
        <v>68.95</v>
      </c>
      <c r="F38" s="29" t="n">
        <v>89.75</v>
      </c>
      <c r="G38" s="28" t="n"/>
      <c r="H38" s="30">
        <f>(F38-E38)/F38</f>
        <v/>
      </c>
    </row>
    <row r="39">
      <c r="A39" s="17" t="inlineStr">
        <is>
          <t>PJA-3-30</t>
        </is>
      </c>
      <c r="B39" s="17" t="inlineStr">
        <is>
          <t>Pole Jacking Assembly</t>
        </is>
      </c>
      <c r="C39" s="17" t="inlineStr">
        <is>
          <t>—</t>
        </is>
      </c>
      <c r="D39" s="17" t="inlineStr">
        <is>
          <t>Non</t>
        </is>
      </c>
      <c r="E39" s="26" t="n">
        <v>1380</v>
      </c>
      <c r="F39" s="26" t="n">
        <v>2000</v>
      </c>
      <c r="G39" s="26" t="n">
        <v>1650</v>
      </c>
      <c r="H39" s="27">
        <f>(F39-E39)/F39</f>
        <v/>
      </c>
      <c r="I39" s="27">
        <f>(G39-E39)/G39</f>
        <v/>
      </c>
    </row>
    <row r="40">
      <c r="A40" s="28" t="inlineStr">
        <is>
          <t>BC-S2834</t>
        </is>
      </c>
      <c r="B40" s="28" t="inlineStr">
        <is>
          <t>SOFT 1.5-Man BC (Trial)</t>
        </is>
      </c>
      <c r="C40" s="28" t="inlineStr">
        <is>
          <t>28"x34"</t>
        </is>
      </c>
      <c r="D40" s="28" t="inlineStr">
        <is>
          <t>Inv</t>
        </is>
      </c>
      <c r="E40" s="29" t="n">
        <v>62.95</v>
      </c>
      <c r="F40" s="29" t="n">
        <v>135</v>
      </c>
      <c r="G40" s="28" t="n"/>
      <c r="H40" s="30">
        <f>(F40-E40)/F40</f>
        <v/>
      </c>
    </row>
    <row r="41">
      <c r="A41" s="17" t="inlineStr">
        <is>
          <t>BC-S2851</t>
        </is>
      </c>
      <c r="B41" s="17" t="inlineStr">
        <is>
          <t>SOFT 2-Man BC (Trial)</t>
        </is>
      </c>
      <c r="C41" s="17" t="inlineStr">
        <is>
          <t>28"x51"</t>
        </is>
      </c>
      <c r="D41" s="17" t="inlineStr">
        <is>
          <t>Inv</t>
        </is>
      </c>
      <c r="E41" s="26" t="n">
        <v>73.45</v>
      </c>
      <c r="F41" s="26" t="n">
        <v>150</v>
      </c>
      <c r="G41" s="17" t="n"/>
      <c r="H41" s="27">
        <f>(F41-E41)/F41</f>
        <v/>
      </c>
    </row>
    <row r="42">
      <c r="A42" s="28" t="inlineStr">
        <is>
          <t>NU-BC-2834-T</t>
        </is>
      </c>
      <c r="B42" s="28" t="inlineStr">
        <is>
          <t>Terex 1.5-Man (Red)</t>
        </is>
      </c>
      <c r="C42" s="28" t="inlineStr">
        <is>
          <t>28"x34"</t>
        </is>
      </c>
      <c r="D42" s="28" t="inlineStr">
        <is>
          <t>Non</t>
        </is>
      </c>
      <c r="E42" s="29" t="n">
        <v>106.7</v>
      </c>
      <c r="F42" s="29" t="n">
        <v>270</v>
      </c>
      <c r="G42" s="28" t="n"/>
      <c r="H42" s="30">
        <f>(F42-E42)/F42</f>
        <v/>
      </c>
    </row>
    <row r="43">
      <c r="A43" s="17" t="inlineStr">
        <is>
          <t>NU-BC-2851-T</t>
        </is>
      </c>
      <c r="B43" s="17" t="inlineStr">
        <is>
          <t>Terex 2-Man (Red)</t>
        </is>
      </c>
      <c r="C43" s="17" t="inlineStr">
        <is>
          <t>28"x51"</t>
        </is>
      </c>
      <c r="D43" s="17" t="inlineStr">
        <is>
          <t>Non</t>
        </is>
      </c>
      <c r="E43" s="26" t="n">
        <v>123.2</v>
      </c>
      <c r="F43" s="26" t="n">
        <v>310</v>
      </c>
      <c r="G43" s="17" t="n"/>
      <c r="H43" s="27">
        <f>(F43-E43)/F43</f>
        <v/>
      </c>
    </row>
  </sheetData>
  <mergeCells count="7">
    <mergeCell ref="A25:I25"/>
    <mergeCell ref="A19:I19"/>
    <mergeCell ref="A10:I10"/>
    <mergeCell ref="A36:I36"/>
    <mergeCell ref="A1:I1"/>
    <mergeCell ref="A4:I4"/>
    <mergeCell ref="A30:I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8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>
      <c r="A1" s="31" t="inlineStr">
        <is>
          <t>SAMSON ROPE — DIRECT PRICING ONLY (Norris Utilities IS the Dealer)</t>
        </is>
      </c>
    </row>
    <row r="2">
      <c r="A2" s="32" t="inlineStr">
        <is>
          <t>⚠ CRITICAL: Samson cost FLUCTUATES with every order. THE FORMULA IS THE AUTHORITY, not the snapshot cost below.</t>
        </is>
      </c>
    </row>
    <row r="3">
      <c r="A3" s="33" t="inlineStr">
        <is>
          <t>FORMULA:  Sell Price = Cost ÷ (1 - Target Margin)  |  Target Margin is set BY CATEGORY — see bottom of sheet</t>
        </is>
      </c>
    </row>
    <row r="5">
      <c r="A5" s="34" t="inlineStr">
        <is>
          <t>Samson P/N</t>
        </is>
      </c>
      <c r="B5" s="34" t="inlineStr">
        <is>
          <t>Product</t>
        </is>
      </c>
      <c r="C5" s="34" t="inlineStr">
        <is>
          <t>Application</t>
        </is>
      </c>
      <c r="D5" s="34" t="inlineStr">
        <is>
          <t>Last Known Cost</t>
        </is>
      </c>
      <c r="E5" s="34" t="inlineStr">
        <is>
          <t>Target Margin</t>
        </is>
      </c>
      <c r="F5" s="34" t="inlineStr">
        <is>
          <t>Calculated Sell</t>
        </is>
      </c>
      <c r="G5" s="34" t="inlineStr">
        <is>
          <t>Actual Sell (QB)</t>
        </is>
      </c>
      <c r="H5" s="34" t="inlineStr">
        <is>
          <t>Category</t>
        </is>
      </c>
    </row>
    <row r="6">
      <c r="A6" s="35" t="inlineStr">
        <is>
          <t>AMSTEEL TURRET ROPES — Target 30% Margin (was 25%, pushing higher)</t>
        </is>
      </c>
    </row>
    <row r="7">
      <c r="A7" s="36" t="inlineStr">
        <is>
          <t>87407200123900</t>
        </is>
      </c>
      <c r="B7" s="36" t="inlineStr">
        <is>
          <t>AMSTEEL II 1-1/8" x 120'</t>
        </is>
      </c>
      <c r="C7" s="36" t="inlineStr">
        <is>
          <t>DM47 / Terex 4045</t>
        </is>
      </c>
      <c r="D7" s="37" t="n">
        <v>1141</v>
      </c>
      <c r="E7" s="38" t="n">
        <v>0.3</v>
      </c>
      <c r="F7" s="19">
        <f>D7/(1-E7)</f>
        <v/>
      </c>
      <c r="G7" s="18" t="n">
        <v>1521.33</v>
      </c>
      <c r="H7" s="17" t="inlineStr">
        <is>
          <t>Turret</t>
        </is>
      </c>
    </row>
    <row r="8">
      <c r="A8" s="39" t="inlineStr">
        <is>
          <t>87203280103904</t>
        </is>
      </c>
      <c r="B8" s="39" t="inlineStr">
        <is>
          <t>AMSTEEL-BLUE 1/2" x 100'</t>
        </is>
      </c>
      <c r="C8" s="39" t="inlineStr">
        <is>
          <t>SDP Backyard Digger</t>
        </is>
      </c>
      <c r="D8" s="40" t="n">
        <v>308</v>
      </c>
      <c r="E8" s="41" t="n">
        <v>0.3</v>
      </c>
      <c r="F8" s="42">
        <f>D8/(1-E8)</f>
        <v/>
      </c>
      <c r="G8" s="43" t="n">
        <v>475.27</v>
      </c>
      <c r="H8" s="44" t="inlineStr">
        <is>
          <t>Turret</t>
        </is>
      </c>
    </row>
    <row r="9">
      <c r="A9" s="36" t="inlineStr">
        <is>
          <t>87206480163203</t>
        </is>
      </c>
      <c r="B9" s="36" t="inlineStr">
        <is>
          <t>AMSTEEL-BLUE 1" x 160'</t>
        </is>
      </c>
      <c r="C9" s="36" t="inlineStr">
        <is>
          <t>D3055, 4060A/B, Terex 6060</t>
        </is>
      </c>
      <c r="D9" s="37" t="n">
        <v>1716</v>
      </c>
      <c r="E9" s="38" t="n">
        <v>0.3</v>
      </c>
      <c r="F9" s="19">
        <f>D9/(1-E9)</f>
        <v/>
      </c>
      <c r="G9" s="18" t="n">
        <v>2288</v>
      </c>
      <c r="H9" s="17" t="inlineStr">
        <is>
          <t>Turret</t>
        </is>
      </c>
    </row>
    <row r="10">
      <c r="A10" s="39" t="inlineStr">
        <is>
          <t>87205280123900</t>
        </is>
      </c>
      <c r="B10" s="39" t="inlineStr">
        <is>
          <t>AMSTEEL-BLUE 13/16" x 120'</t>
        </is>
      </c>
      <c r="C10" s="39" t="inlineStr">
        <is>
          <t>Altec DH50 (Pilot)</t>
        </is>
      </c>
      <c r="D10" s="40" t="n">
        <v>950</v>
      </c>
      <c r="E10" s="41" t="n">
        <v>0.3</v>
      </c>
      <c r="F10" s="42">
        <f>D10/(1-E10)</f>
        <v/>
      </c>
      <c r="G10" s="43" t="n">
        <v>1266.67</v>
      </c>
      <c r="H10" s="44" t="inlineStr">
        <is>
          <t>Turret</t>
        </is>
      </c>
    </row>
    <row r="11">
      <c r="A11" s="35" t="inlineStr">
        <is>
          <t>STABLE BRAID JIB LINES w/ SPOOL — Target 30% Margin (was 25%)</t>
        </is>
      </c>
    </row>
    <row r="12">
      <c r="A12" s="36" t="inlineStr">
        <is>
          <t>80603200106902</t>
        </is>
      </c>
      <c r="B12" s="36" t="inlineStr">
        <is>
          <t>STABLE BRAID 1/2" x 105' (Spool)</t>
        </is>
      </c>
      <c r="C12" s="36" t="inlineStr">
        <is>
          <t>A72T &amp; AH100</t>
        </is>
      </c>
      <c r="D12" s="37" t="n">
        <v>185</v>
      </c>
      <c r="E12" s="38" t="n">
        <v>0.3</v>
      </c>
      <c r="F12" s="19">
        <f>D12/(1-E12)</f>
        <v/>
      </c>
      <c r="G12" s="18" t="n">
        <v>246.67</v>
      </c>
      <c r="H12" s="17" t="inlineStr">
        <is>
          <t>Jib-Spool</t>
        </is>
      </c>
    </row>
    <row r="13">
      <c r="A13" s="39" t="inlineStr">
        <is>
          <t>80603200084900</t>
        </is>
      </c>
      <c r="B13" s="39" t="inlineStr">
        <is>
          <t>STABLE BRAID 1/2" x 80' (Spool)</t>
        </is>
      </c>
      <c r="C13" s="39" t="inlineStr">
        <is>
          <t>AA55, AA50, AM55</t>
        </is>
      </c>
      <c r="D13" s="40" t="n">
        <v>170</v>
      </c>
      <c r="E13" s="41" t="n">
        <v>0.3</v>
      </c>
      <c r="F13" s="42">
        <f>D13/(1-E13)</f>
        <v/>
      </c>
      <c r="G13" s="43" t="n">
        <v>226.67</v>
      </c>
      <c r="H13" s="44" t="inlineStr">
        <is>
          <t>Jib-Spool</t>
        </is>
      </c>
    </row>
    <row r="14">
      <c r="A14" s="36" t="inlineStr">
        <is>
          <t>80602800063901</t>
        </is>
      </c>
      <c r="B14" s="36" t="inlineStr">
        <is>
          <t>STABLE BRAID 7/16" x 65' (Spool)</t>
        </is>
      </c>
      <c r="C14" s="36" t="inlineStr">
        <is>
          <t>AT-40M &amp; AT-41M</t>
        </is>
      </c>
      <c r="D14" s="37" t="n">
        <v>152</v>
      </c>
      <c r="E14" s="38" t="n">
        <v>0.3</v>
      </c>
      <c r="F14" s="19">
        <f>D14/(1-E14)</f>
        <v/>
      </c>
      <c r="G14" s="18" t="n">
        <v>202.67</v>
      </c>
      <c r="H14" s="17" t="inlineStr">
        <is>
          <t>Jib-Spool</t>
        </is>
      </c>
    </row>
    <row r="15">
      <c r="A15" s="39" t="inlineStr">
        <is>
          <t>80603200063903</t>
        </is>
      </c>
      <c r="B15" s="39" t="inlineStr">
        <is>
          <t>STABLE BRAID 1/2" x 65'</t>
        </is>
      </c>
      <c r="C15" s="39" t="inlineStr">
        <is>
          <t>SDP Jib Line</t>
        </is>
      </c>
      <c r="D15" s="40" t="n">
        <v>96</v>
      </c>
      <c r="E15" s="41" t="n">
        <v>0.3</v>
      </c>
      <c r="F15" s="42">
        <f>D15/(1-E15)</f>
        <v/>
      </c>
      <c r="G15" s="43" t="n">
        <v>230</v>
      </c>
      <c r="H15" s="44" t="inlineStr">
        <is>
          <t>Jib-Spool</t>
        </is>
      </c>
    </row>
    <row r="16">
      <c r="A16" s="35" t="inlineStr">
        <is>
          <t>STABLE BRAID JIB LINES w/ THIMBLE — Target 60% Margin (hold)</t>
        </is>
      </c>
    </row>
    <row r="17">
      <c r="A17" s="36" t="inlineStr">
        <is>
          <t>80603200103901</t>
        </is>
      </c>
      <c r="B17" s="36" t="inlineStr">
        <is>
          <t>STABLE BRAID 1/2" x 105' (Thimble)</t>
        </is>
      </c>
      <c r="C17" s="36" t="inlineStr">
        <is>
          <t>A72T &amp; AH100</t>
        </is>
      </c>
      <c r="D17" s="37" t="n">
        <v>120</v>
      </c>
      <c r="E17" s="38" t="n">
        <v>0.6</v>
      </c>
      <c r="F17" s="19">
        <f>D17/(1-E17)</f>
        <v/>
      </c>
      <c r="G17" s="18" t="n">
        <v>300</v>
      </c>
      <c r="H17" s="17" t="inlineStr">
        <is>
          <t>Jib-Thimble</t>
        </is>
      </c>
    </row>
    <row r="18">
      <c r="A18" s="39" t="inlineStr">
        <is>
          <t>80603200083900</t>
        </is>
      </c>
      <c r="B18" s="39" t="inlineStr">
        <is>
          <t>STABLE BRAID 1/2" x 80' (Thimble)</t>
        </is>
      </c>
      <c r="C18" s="39" t="inlineStr">
        <is>
          <t>AA55, AA50</t>
        </is>
      </c>
      <c r="D18" s="40" t="n">
        <v>104</v>
      </c>
      <c r="E18" s="41" t="n">
        <v>0.6</v>
      </c>
      <c r="F18" s="42">
        <f>D18/(1-E18)</f>
        <v/>
      </c>
      <c r="G18" s="43" t="n">
        <v>260</v>
      </c>
      <c r="H18" s="44" t="inlineStr">
        <is>
          <t>Jib-Thimble</t>
        </is>
      </c>
    </row>
    <row r="19">
      <c r="A19" s="35" t="inlineStr">
        <is>
          <t>STABLE BRAID JIB LINES EYE-EYE — Target 50% Margin (was 45%)</t>
        </is>
      </c>
    </row>
    <row r="20">
      <c r="A20" s="36" t="inlineStr">
        <is>
          <t>80603200083200</t>
        </is>
      </c>
      <c r="B20" s="36" t="inlineStr">
        <is>
          <t>STABLE BRAID 1/2" x 80' (EEE)</t>
        </is>
      </c>
      <c r="C20" s="36" t="inlineStr">
        <is>
          <t>AA55, AA50, AM55</t>
        </is>
      </c>
      <c r="D20" s="37" t="n">
        <v>85</v>
      </c>
      <c r="E20" s="38" t="n">
        <v>0.5</v>
      </c>
      <c r="F20" s="19">
        <f>D20/(1-E20)</f>
        <v/>
      </c>
      <c r="G20" s="18" t="n">
        <v>155</v>
      </c>
      <c r="H20" s="17" t="inlineStr">
        <is>
          <t>Jib-EyeEye</t>
        </is>
      </c>
    </row>
    <row r="21">
      <c r="A21" s="39" t="inlineStr">
        <is>
          <t>80602800063200</t>
        </is>
      </c>
      <c r="B21" s="39" t="inlineStr">
        <is>
          <t>STABLE BRAID 7/16" x 65' (EEE)</t>
        </is>
      </c>
      <c r="C21" s="39" t="inlineStr">
        <is>
          <t>AT-40M &amp; AT-41M</t>
        </is>
      </c>
      <c r="D21" s="40" t="n">
        <v>67</v>
      </c>
      <c r="E21" s="41" t="n">
        <v>0.5</v>
      </c>
      <c r="F21" s="42">
        <f>D21/(1-E21)</f>
        <v/>
      </c>
      <c r="G21" s="43" t="n">
        <v>125</v>
      </c>
      <c r="H21" s="44" t="inlineStr">
        <is>
          <t>Jib-EyeEye</t>
        </is>
      </c>
    </row>
    <row r="22">
      <c r="A22" s="35" t="inlineStr">
        <is>
          <t>TENEX PULLER ROPES 6,000' — Target 55% Margin (was 54%)</t>
        </is>
      </c>
    </row>
    <row r="23">
      <c r="A23" s="36" t="inlineStr">
        <is>
          <t>82603286002202</t>
        </is>
      </c>
      <c r="B23" s="36" t="inlineStr">
        <is>
          <t>TENEX 1/2" x 6000' BLUE</t>
        </is>
      </c>
      <c r="C23" s="36" t="inlineStr">
        <is>
          <t>4 Drum Puller</t>
        </is>
      </c>
      <c r="D23" s="37" t="n">
        <v>3059</v>
      </c>
      <c r="E23" s="38" t="n">
        <v>0.55</v>
      </c>
      <c r="F23" s="19">
        <f>D23/(1-E23)</f>
        <v/>
      </c>
      <c r="G23" s="18" t="n">
        <v>6650</v>
      </c>
      <c r="H23" s="17" t="inlineStr">
        <is>
          <t>Puller-6K</t>
        </is>
      </c>
    </row>
    <row r="24">
      <c r="A24" s="39" t="inlineStr">
        <is>
          <t>82603256002202</t>
        </is>
      </c>
      <c r="B24" s="39" t="inlineStr">
        <is>
          <t>TENEX 1/2" x 6000' GREEN</t>
        </is>
      </c>
      <c r="C24" s="39" t="inlineStr">
        <is>
          <t>4 Drum Puller</t>
        </is>
      </c>
      <c r="D24" s="40" t="n">
        <v>3059</v>
      </c>
      <c r="E24" s="41" t="n">
        <v>0.55</v>
      </c>
      <c r="F24" s="42">
        <f>D24/(1-E24)</f>
        <v/>
      </c>
      <c r="G24" s="43" t="n">
        <v>6650</v>
      </c>
      <c r="H24" s="44" t="inlineStr">
        <is>
          <t>Puller-6K</t>
        </is>
      </c>
    </row>
    <row r="25">
      <c r="A25" s="36" t="inlineStr">
        <is>
          <t>82603246002202</t>
        </is>
      </c>
      <c r="B25" s="36" t="inlineStr">
        <is>
          <t>TENEX 1/2" x 6000' RED</t>
        </is>
      </c>
      <c r="C25" s="36" t="inlineStr">
        <is>
          <t>4 Drum Puller</t>
        </is>
      </c>
      <c r="D25" s="37" t="n">
        <v>3059</v>
      </c>
      <c r="E25" s="38" t="n">
        <v>0.55</v>
      </c>
      <c r="F25" s="19">
        <f>D25/(1-E25)</f>
        <v/>
      </c>
      <c r="G25" s="18" t="n">
        <v>6650</v>
      </c>
      <c r="H25" s="17" t="inlineStr">
        <is>
          <t>Puller-6K</t>
        </is>
      </c>
    </row>
    <row r="26">
      <c r="A26" s="39" t="inlineStr">
        <is>
          <t>82603216002201</t>
        </is>
      </c>
      <c r="B26" s="39" t="inlineStr">
        <is>
          <t>TENEX 1/2" x 6000' YELLOW</t>
        </is>
      </c>
      <c r="C26" s="39" t="inlineStr">
        <is>
          <t>4 Drum Puller</t>
        </is>
      </c>
      <c r="D26" s="40" t="n">
        <v>3059</v>
      </c>
      <c r="E26" s="41" t="n">
        <v>0.55</v>
      </c>
      <c r="F26" s="42">
        <f>D26/(1-E26)</f>
        <v/>
      </c>
      <c r="G26" s="43" t="n">
        <v>6650</v>
      </c>
      <c r="H26" s="44" t="inlineStr">
        <is>
          <t>Puller-6K</t>
        </is>
      </c>
    </row>
    <row r="27">
      <c r="A27" s="35" t="inlineStr">
        <is>
          <t>TENEX PULLER ROPES 8,000' — Target 55% Margin</t>
        </is>
      </c>
    </row>
    <row r="28">
      <c r="A28" s="36" t="inlineStr">
        <is>
          <t>82603288002201</t>
        </is>
      </c>
      <c r="B28" s="36" t="inlineStr">
        <is>
          <t>TENEX 1/2" x 8000' BLUE</t>
        </is>
      </c>
      <c r="C28" s="36" t="inlineStr">
        <is>
          <t>4 Drum Puller</t>
        </is>
      </c>
      <c r="D28" s="37" t="n">
        <v>3254</v>
      </c>
      <c r="E28" s="38" t="n">
        <v>0.55</v>
      </c>
      <c r="F28" s="19">
        <f>D28/(1-E28)</f>
        <v/>
      </c>
      <c r="G28" s="18" t="n">
        <v>6675</v>
      </c>
      <c r="H28" s="17" t="inlineStr">
        <is>
          <t>Puller-8K</t>
        </is>
      </c>
    </row>
    <row r="29">
      <c r="A29" s="39" t="inlineStr">
        <is>
          <t>82603258002200</t>
        </is>
      </c>
      <c r="B29" s="39" t="inlineStr">
        <is>
          <t>TENEX 1/2" x 8000' GREEN</t>
        </is>
      </c>
      <c r="C29" s="39" t="inlineStr">
        <is>
          <t>4 Drum Puller</t>
        </is>
      </c>
      <c r="D29" s="40" t="n">
        <v>3254</v>
      </c>
      <c r="E29" s="41" t="n">
        <v>0.55</v>
      </c>
      <c r="F29" s="42">
        <f>D29/(1-E29)</f>
        <v/>
      </c>
      <c r="G29" s="43" t="n">
        <v>6675</v>
      </c>
      <c r="H29" s="44" t="inlineStr">
        <is>
          <t>Puller-8K</t>
        </is>
      </c>
    </row>
    <row r="30">
      <c r="A30" s="36" t="inlineStr">
        <is>
          <t>82603248002201</t>
        </is>
      </c>
      <c r="B30" s="36" t="inlineStr">
        <is>
          <t>TENEX 1/2" x 8000' RED</t>
        </is>
      </c>
      <c r="C30" s="36" t="inlineStr">
        <is>
          <t>4 Drum Puller</t>
        </is>
      </c>
      <c r="D30" s="37" t="n">
        <v>3254</v>
      </c>
      <c r="E30" s="38" t="n">
        <v>0.55</v>
      </c>
      <c r="F30" s="19">
        <f>D30/(1-E30)</f>
        <v/>
      </c>
      <c r="G30" s="18" t="n">
        <v>6675</v>
      </c>
      <c r="H30" s="17" t="inlineStr">
        <is>
          <t>Puller-8K</t>
        </is>
      </c>
    </row>
    <row r="31">
      <c r="A31" s="39" t="inlineStr">
        <is>
          <t>82603218002201</t>
        </is>
      </c>
      <c r="B31" s="39" t="inlineStr">
        <is>
          <t>TENEX 1/2" x 8000' YELLOW</t>
        </is>
      </c>
      <c r="C31" s="39" t="inlineStr">
        <is>
          <t>4 Drum Puller</t>
        </is>
      </c>
      <c r="D31" s="40" t="n">
        <v>3254</v>
      </c>
      <c r="E31" s="41" t="n">
        <v>0.55</v>
      </c>
      <c r="F31" s="42">
        <f>D31/(1-E31)</f>
        <v/>
      </c>
      <c r="G31" s="43" t="n">
        <v>6675</v>
      </c>
      <c r="H31" s="44" t="inlineStr">
        <is>
          <t>Puller-8K</t>
        </is>
      </c>
    </row>
    <row r="32">
      <c r="A32" s="35" t="inlineStr">
        <is>
          <t>NYLITE ASSEMBLIES — Target 42% Margin (was 35-40%)</t>
        </is>
      </c>
    </row>
    <row r="33">
      <c r="A33" s="36" t="inlineStr">
        <is>
          <t>9640681</t>
        </is>
      </c>
      <c r="B33" s="36" t="inlineStr">
        <is>
          <t>NYLITE Class II Spool/Shield/Shackle 4 ORG</t>
        </is>
      </c>
      <c r="C33" s="36" t="inlineStr">
        <is>
          <t>Size 4 Assembly</t>
        </is>
      </c>
      <c r="D33" s="37" t="n">
        <v>247.72</v>
      </c>
      <c r="E33" s="38" t="n">
        <v>0.42</v>
      </c>
      <c r="F33" s="19">
        <f>D33/(1-E33)</f>
        <v/>
      </c>
      <c r="G33" s="18" t="n">
        <v>385</v>
      </c>
      <c r="H33" s="17" t="inlineStr">
        <is>
          <t>Nylite-Assy</t>
        </is>
      </c>
    </row>
    <row r="34">
      <c r="A34" s="39" t="inlineStr">
        <is>
          <t>9640841</t>
        </is>
      </c>
      <c r="B34" s="39" t="inlineStr">
        <is>
          <t>NYLITE Class II Spool/Shield/Shackle 5 BLK</t>
        </is>
      </c>
      <c r="C34" s="39" t="inlineStr">
        <is>
          <t>Size 5 Assembly</t>
        </is>
      </c>
      <c r="D34" s="40" t="n">
        <v>314.41</v>
      </c>
      <c r="E34" s="41" t="n">
        <v>0.42</v>
      </c>
      <c r="F34" s="42">
        <f>D34/(1-E34)</f>
        <v/>
      </c>
      <c r="G34" s="43" t="n">
        <v>525</v>
      </c>
      <c r="H34" s="44" t="inlineStr">
        <is>
          <t>Nylite-Assy</t>
        </is>
      </c>
    </row>
    <row r="35">
      <c r="A35" s="35" t="inlineStr">
        <is>
          <t>NYLITE SPOOL/SHIELD ONLY — Target 30% Margin (was 25%)</t>
        </is>
      </c>
    </row>
    <row r="36">
      <c r="A36" s="36" t="inlineStr">
        <is>
          <t>9690681</t>
        </is>
      </c>
      <c r="B36" s="36" t="inlineStr">
        <is>
          <t>Nylite Spool/Shield 4 ORG (ALUM)</t>
        </is>
      </c>
      <c r="C36" s="36" t="inlineStr">
        <is>
          <t>Size 4</t>
        </is>
      </c>
      <c r="D36" s="37" t="n">
        <v>107.26</v>
      </c>
      <c r="E36" s="38" t="n">
        <v>0.3</v>
      </c>
      <c r="F36" s="19">
        <f>D36/(1-E36)</f>
        <v/>
      </c>
      <c r="G36" s="18" t="n">
        <v>143.01</v>
      </c>
      <c r="H36" s="17" t="inlineStr">
        <is>
          <t>Nylite-SS</t>
        </is>
      </c>
    </row>
    <row r="37">
      <c r="A37" s="39" t="inlineStr">
        <is>
          <t>9690841</t>
        </is>
      </c>
      <c r="B37" s="39" t="inlineStr">
        <is>
          <t>Nylite Spool/Shield 5 BLK (ALUM)</t>
        </is>
      </c>
      <c r="C37" s="39" t="inlineStr">
        <is>
          <t>Size 5</t>
        </is>
      </c>
      <c r="D37" s="40" t="n">
        <v>232.08</v>
      </c>
      <c r="E37" s="41" t="n">
        <v>0.3</v>
      </c>
      <c r="F37" s="42">
        <f>D37/(1-E37)</f>
        <v/>
      </c>
      <c r="G37" s="43" t="n">
        <v>309.45</v>
      </c>
      <c r="H37" s="44" t="inlineStr">
        <is>
          <t>Nylite-SS</t>
        </is>
      </c>
    </row>
    <row r="38">
      <c r="A38" s="36" t="inlineStr">
        <is>
          <t>9690321</t>
        </is>
      </c>
      <c r="B38" s="36" t="inlineStr">
        <is>
          <t>Nylite Spool/Shield 1 BLU (ALUM)</t>
        </is>
      </c>
      <c r="C38" s="36" t="inlineStr">
        <is>
          <t>Size 1</t>
        </is>
      </c>
      <c r="D38" s="37" t="n">
        <v>77.76000000000001</v>
      </c>
      <c r="E38" s="38" t="n">
        <v>0.3</v>
      </c>
      <c r="F38" s="19">
        <f>D38/(1-E38)</f>
        <v/>
      </c>
      <c r="G38" s="18" t="n">
        <v>103.67</v>
      </c>
      <c r="H38" s="17" t="inlineStr">
        <is>
          <t>Nylite-SS</t>
        </is>
      </c>
    </row>
    <row r="39">
      <c r="A39" s="39" t="inlineStr">
        <is>
          <t>9690320</t>
        </is>
      </c>
      <c r="B39" s="39" t="inlineStr">
        <is>
          <t>Nylite Spool/Shield 1 BLU (NYL)</t>
        </is>
      </c>
      <c r="C39" s="39" t="inlineStr">
        <is>
          <t>Size 1</t>
        </is>
      </c>
      <c r="D39" s="40" t="n">
        <v>21.03</v>
      </c>
      <c r="E39" s="41" t="n">
        <v>0.3</v>
      </c>
      <c r="F39" s="42">
        <f>D39/(1-E39)</f>
        <v/>
      </c>
      <c r="G39" s="43" t="n">
        <v>28.04</v>
      </c>
      <c r="H39" s="44" t="inlineStr">
        <is>
          <t>Nylite-SS</t>
        </is>
      </c>
    </row>
    <row r="40">
      <c r="A40" s="35" t="inlineStr">
        <is>
          <t>SHACKLES &amp; SMALL PARTS — Target 33% Margin (was 28%)</t>
        </is>
      </c>
    </row>
    <row r="41">
      <c r="A41" s="36" t="inlineStr">
        <is>
          <t>9610682</t>
        </is>
      </c>
      <c r="B41" s="36" t="inlineStr">
        <is>
          <t>DASH 4 Nylite Shackle w/ Bolt</t>
        </is>
      </c>
      <c r="C41" s="36" t="inlineStr">
        <is>
          <t>For 9690681</t>
        </is>
      </c>
      <c r="D41" s="37" t="n">
        <v>87.59999999999999</v>
      </c>
      <c r="E41" s="38" t="n">
        <v>0.33</v>
      </c>
      <c r="F41" s="19">
        <f>D41/(1-E41)</f>
        <v/>
      </c>
      <c r="G41" s="18" t="n">
        <v>122.5</v>
      </c>
      <c r="H41" s="17" t="inlineStr">
        <is>
          <t>Shackle</t>
        </is>
      </c>
    </row>
    <row r="44">
      <c r="A44" s="14" t="inlineStr">
        <is>
          <t>⚠ SAMSON PRICING RULES — THE FORMULA IS THE AUTHORITY</t>
        </is>
      </c>
    </row>
    <row r="45">
      <c r="A45" s="45" t="inlineStr">
        <is>
          <t>1. Samson Rope cost to Norris Utilities = Samson list price × 0.70 (30% discount). This is Aaron's COST.</t>
        </is>
      </c>
    </row>
    <row r="46">
      <c r="A46" s="45" t="inlineStr">
        <is>
          <t>2. COST FLUCTUATES WITH EVERY ORDER. The costs above are SNAPSHOTS, not permanent values.</t>
        </is>
      </c>
    </row>
    <row r="47">
      <c r="A47" s="45" t="inlineStr">
        <is>
          <t>3. When cost changes, the SELL PRICE MUST BE RECALCULATED using the formula: Sell = Cost ÷ (1 - Target Margin)</t>
        </is>
      </c>
    </row>
    <row r="48">
      <c r="A48" s="45" t="inlineStr">
        <is>
          <t>4. Target Margin is set BY CATEGORY — it does NOT change when cost changes. The formula carries the weight.</t>
        </is>
      </c>
    </row>
    <row r="49">
      <c r="A49" s="45" t="inlineStr">
        <is>
          <t>5. Margins are being pushed HIGHER across all categories. Use the updated targets below, not historical pricing.</t>
        </is>
      </c>
    </row>
    <row r="50">
      <c r="A50" s="46" t="inlineStr">
        <is>
          <t>6. All Samson sales currently go through NAPA - Mississippi Power Parts. Total all-time revenue: $138,884.32</t>
        </is>
      </c>
    </row>
    <row r="51">
      <c r="A51" s="46" t="inlineStr">
        <is>
          <t>7. DO NOT LAUNCH the MSP Ordering Portal until these formulas are programmed into the pricing engine.</t>
        </is>
      </c>
    </row>
    <row r="52">
      <c r="A52" s="46" t="inlineStr"/>
    </row>
    <row r="53">
      <c r="A53" s="45" t="inlineStr">
        <is>
          <t>CATEGORY TARGET MARGINS (Updated April 2026 — pushed higher):</t>
        </is>
      </c>
    </row>
    <row r="54">
      <c r="A54" s="46" t="inlineStr">
        <is>
          <t xml:space="preserve">   Turret Ropes (AMSTEEL):           30% margin  (Cost ÷ 0.70)    — was 25%, increasing</t>
        </is>
      </c>
    </row>
    <row r="55">
      <c r="A55" s="46" t="inlineStr">
        <is>
          <t xml:space="preserve">   Jib Lines w/ Spool (STABLE BRAID): 30% margin  (Cost ÷ 0.70)   — was 25%, increasing</t>
        </is>
      </c>
    </row>
    <row r="56">
      <c r="A56" s="46" t="inlineStr">
        <is>
          <t xml:space="preserve">   Jib Lines w/ Thimble End:          60% margin  (Cost ÷ 0.40)   — holding, already strong</t>
        </is>
      </c>
    </row>
    <row r="57">
      <c r="A57" s="46" t="inlineStr">
        <is>
          <t xml:space="preserve">   Jib Lines Eye-Eye:                 50% margin  (Cost ÷ 0.50)   — was 45%, increasing</t>
        </is>
      </c>
    </row>
    <row r="58">
      <c r="A58" s="46" t="inlineStr">
        <is>
          <t xml:space="preserve">   Puller Ropes (TENEX):              55% margin  (Cost ÷ 0.45)   — was 54%, increasing</t>
        </is>
      </c>
    </row>
    <row r="59">
      <c r="A59" s="46" t="inlineStr">
        <is>
          <t xml:space="preserve">   Nylite Class II Assemblies:        42% margin  (Cost ÷ 0.58)   — was 35-40%, increasing</t>
        </is>
      </c>
    </row>
    <row r="60">
      <c r="A60" s="46" t="inlineStr">
        <is>
          <t xml:space="preserve">   Nylite Spool/Shield Only:          30% margin  (Cost ÷ 0.70)   — was 25%, increasing</t>
        </is>
      </c>
    </row>
    <row r="61">
      <c r="A61" s="46" t="inlineStr">
        <is>
          <t xml:space="preserve">   Shackles &amp; Small Parts:            33% margin  (Cost ÷ 0.67)   — was 28%, increasing</t>
        </is>
      </c>
    </row>
    <row r="62">
      <c r="A62" s="46" t="inlineStr"/>
    </row>
    <row r="63">
      <c r="A63" s="45" t="inlineStr">
        <is>
          <t>EXAMPLE: If Samson raises TENEX 6000' cost from $3,059 to $3,200:</t>
        </is>
      </c>
    </row>
    <row r="64">
      <c r="A64" s="46" t="inlineStr">
        <is>
          <t xml:space="preserve">   New Sell Price = $3,200 ÷ (1 - 0.55) = $3,200 ÷ 0.45 = $7,111.11 → round to $7,115</t>
        </is>
      </c>
    </row>
    <row r="65">
      <c r="A65" s="46" t="inlineStr">
        <is>
          <t xml:space="preserve">   The margin STAYS at 55%. The sell price adjusts automatically. THE FORMULA IS KING.</t>
        </is>
      </c>
    </row>
  </sheetData>
  <mergeCells count="13">
    <mergeCell ref="A3:H3"/>
    <mergeCell ref="A35:H35"/>
    <mergeCell ref="A2:H2"/>
    <mergeCell ref="A16:H16"/>
    <mergeCell ref="A19:H19"/>
    <mergeCell ref="A11:H11"/>
    <mergeCell ref="A44:H44"/>
    <mergeCell ref="A1:H1"/>
    <mergeCell ref="A32:H32"/>
    <mergeCell ref="A27:H27"/>
    <mergeCell ref="A6:H6"/>
    <mergeCell ref="A22:H22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2026-04-07T20:11:56Z</dcterms:created>
  <dcterms:modified xmlns:dcterms="http://purl.org/dc/terms/" xmlns:xsi="http://www.w3.org/2001/XMLSchema-instance" xsi:type="dcterms:W3CDTF">2026-04-07T20:11:56Z</dcterms:modified>
</cp:coreProperties>
</file>